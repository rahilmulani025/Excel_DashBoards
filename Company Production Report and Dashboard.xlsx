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Rahil Mulani\Downloads\"/>
    </mc:Choice>
  </mc:AlternateContent>
  <xr:revisionPtr revIDLastSave="0" documentId="13_ncr:1_{AE997859-F596-4069-B5C0-8148AE9BE343}" xr6:coauthVersionLast="47" xr6:coauthVersionMax="47" xr10:uidLastSave="{00000000-0000-0000-0000-000000000000}"/>
  <bookViews>
    <workbookView xWindow="-108" yWindow="-108" windowWidth="23256" windowHeight="13176" firstSheet="1" activeTab="6" xr2:uid="{00000000-000D-0000-FFFF-FFFF00000000}"/>
  </bookViews>
  <sheets>
    <sheet name="Uncleaned Production Dataset" sheetId="1" r:id="rId1"/>
    <sheet name="Cleaned DataSet" sheetId="2" r:id="rId2"/>
    <sheet name="Pivot 1" sheetId="4" r:id="rId3"/>
    <sheet name="Pivot 2" sheetId="5" r:id="rId4"/>
    <sheet name="Pivot 3" sheetId="6" r:id="rId5"/>
    <sheet name="Pivot 4" sheetId="7" r:id="rId6"/>
    <sheet name="DashBoard" sheetId="8" r:id="rId7"/>
  </sheets>
  <definedNames>
    <definedName name="_xlnm._FilterDatabase" localSheetId="0" hidden="1">'Uncleaned Production Dataset'!$A$1:$H$121</definedName>
    <definedName name="Slicer_Age_group">#N/A</definedName>
    <definedName name="Slicer_Gender">#N/A</definedName>
    <definedName name="Slicer_Region">#N/A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alcChain>
</file>

<file path=xl/sharedStrings.xml><?xml version="1.0" encoding="utf-8"?>
<sst xmlns="http://schemas.openxmlformats.org/spreadsheetml/2006/main" count="1025" uniqueCount="54">
  <si>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</si>
  <si>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</si>
  <si>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</si>
  <si>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</si>
  <si>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</si>
  <si>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</si>
  <si>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</si>
  <si>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</si>
  <si>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</si>
  <si>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</si>
  <si>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</si>
  <si>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</si>
  <si>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</si>
  <si>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</si>
  <si>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</si>
  <si>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</si>
  <si>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</si>
  <si>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</si>
  <si>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</si>
  <si>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</si>
  <si>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</si>
  <si>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</si>
  <si>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</si>
  <si>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</si>
  <si>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</si>
  <si>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</si>
  <si>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</si>
  <si>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</si>
  <si>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</si>
  <si>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</si>
  <si>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t>
  </si>
  <si>
    <t>Age group</t>
  </si>
  <si>
    <t>Production Cost Per Unit</t>
  </si>
  <si>
    <t>Row Labels</t>
  </si>
  <si>
    <t>Grand Total</t>
  </si>
  <si>
    <t>Sum of TotalCost</t>
  </si>
  <si>
    <t>Count of ProductionID</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</si>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</sst>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_ * #,##0_ ;_ * \-#,##0_ ;_ * &quot;-&quot;??_ ;_ @_ "/>
  </numFmts>
  <fonts count="2" x14ac:knownFonts="1">
    <font>
      <sz val="11"/>
      <color theme="1"/>
      <name val="Calibri"/>
      <family val="2"/>
      <scheme val="minor"/>
    </font>
    <font>
      <b/>
      <sz val="36"/>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14" fontId="0" fillId="0" borderId="0" xfId="0" applyNumberFormat="1"/>
    <xf numFmtId="0" fontId="0" fillId="0" borderId="0" xfId="0"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0" fillId="2" borderId="0" xfId="0" applyFill="1" applyBorder="1" applyAlignment="1">
      <alignment horizontal="center"/>
    </xf>
    <xf numFmtId="0" fontId="0" fillId="0" borderId="0" xfId="0" applyBorder="1"/>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7">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 formatCode="0"/>
    </dxf>
    <dxf>
      <numFmt numFmtId="0" formatCode="General"/>
    </dxf>
    <dxf>
      <numFmt numFmtId="19" formatCode="dd/mm/yyyy"/>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Production</a:t>
            </a:r>
            <a:r>
              <a:rPr lang="en-US" b="1" i="1" u="sng" baseline="0">
                <a:solidFill>
                  <a:schemeClr val="tx1"/>
                </a:solidFill>
              </a:rPr>
              <a:t> Cost By Type of Products</a:t>
            </a:r>
            <a:endParaRPr lang="en-US" b="1" i="1" u="sng">
              <a:solidFill>
                <a:schemeClr val="tx1"/>
              </a:solidFill>
            </a:endParaRPr>
          </a:p>
        </c:rich>
      </c:tx>
      <c:layout>
        <c:manualLayout>
          <c:xMode val="edge"/>
          <c:yMode val="edge"/>
          <c:x val="0.1747637795275590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483664</c:v>
                </c:pt>
                <c:pt idx="1">
                  <c:v>412019</c:v>
                </c:pt>
                <c:pt idx="2">
                  <c:v>258821</c:v>
                </c:pt>
                <c:pt idx="3">
                  <c:v>490158</c:v>
                </c:pt>
              </c:numCache>
            </c:numRef>
          </c:val>
          <c:extLst>
            <c:ext xmlns:c16="http://schemas.microsoft.com/office/drawing/2014/chart" uri="{C3380CC4-5D6E-409C-BE32-E72D297353CC}">
              <c16:uniqueId val="{00000000-FEEC-4805-BA6D-A7B46797AE70}"/>
            </c:ext>
          </c:extLst>
        </c:ser>
        <c:dLbls>
          <c:showLegendKey val="0"/>
          <c:showVal val="0"/>
          <c:showCatName val="0"/>
          <c:showSerName val="0"/>
          <c:showPercent val="0"/>
          <c:showBubbleSize val="0"/>
        </c:dLbls>
        <c:gapWidth val="150"/>
        <c:shape val="box"/>
        <c:axId val="348427871"/>
        <c:axId val="348427391"/>
        <c:axId val="0"/>
      </c:bar3DChart>
      <c:catAx>
        <c:axId val="348427871"/>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8427391"/>
        <c:crosses val="autoZero"/>
        <c:auto val="1"/>
        <c:lblAlgn val="ctr"/>
        <c:lblOffset val="100"/>
        <c:noMultiLvlLbl val="0"/>
      </c:catAx>
      <c:valAx>
        <c:axId val="34842739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842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Unit</a:t>
            </a:r>
            <a:r>
              <a:rPr lang="en-US" b="1" baseline="0">
                <a:solidFill>
                  <a:schemeClr val="tx1"/>
                </a:solidFill>
              </a:rPr>
              <a:t> Produced per Manager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4</c:v>
                </c:pt>
                <c:pt idx="1">
                  <c:v>3</c:v>
                </c:pt>
                <c:pt idx="2">
                  <c:v>4</c:v>
                </c:pt>
                <c:pt idx="3">
                  <c:v>3</c:v>
                </c:pt>
                <c:pt idx="4">
                  <c:v>8</c:v>
                </c:pt>
                <c:pt idx="5">
                  <c:v>3</c:v>
                </c:pt>
                <c:pt idx="6">
                  <c:v>6</c:v>
                </c:pt>
                <c:pt idx="7">
                  <c:v>5</c:v>
                </c:pt>
                <c:pt idx="8">
                  <c:v>18</c:v>
                </c:pt>
                <c:pt idx="9">
                  <c:v>1</c:v>
                </c:pt>
              </c:numCache>
            </c:numRef>
          </c:val>
          <c:extLst>
            <c:ext xmlns:c16="http://schemas.microsoft.com/office/drawing/2014/chart" uri="{C3380CC4-5D6E-409C-BE32-E72D297353CC}">
              <c16:uniqueId val="{00000000-15F0-42D5-AD9A-B9DACCD7D18A}"/>
            </c:ext>
          </c:extLst>
        </c:ser>
        <c:dLbls>
          <c:showLegendKey val="0"/>
          <c:showVal val="1"/>
          <c:showCatName val="0"/>
          <c:showSerName val="0"/>
          <c:showPercent val="0"/>
          <c:showBubbleSize val="0"/>
        </c:dLbls>
        <c:gapWidth val="150"/>
        <c:shape val="box"/>
        <c:axId val="584201471"/>
        <c:axId val="584198591"/>
        <c:axId val="0"/>
      </c:bar3DChart>
      <c:catAx>
        <c:axId val="58420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84198591"/>
        <c:crosses val="autoZero"/>
        <c:auto val="1"/>
        <c:lblAlgn val="ctr"/>
        <c:lblOffset val="100"/>
        <c:noMultiLvlLbl val="0"/>
      </c:catAx>
      <c:valAx>
        <c:axId val="584198591"/>
        <c:scaling>
          <c:orientation val="minMax"/>
        </c:scaling>
        <c:delete val="1"/>
        <c:axPos val="b"/>
        <c:numFmt formatCode="General" sourceLinked="1"/>
        <c:majorTickMark val="none"/>
        <c:minorTickMark val="none"/>
        <c:tickLblPos val="nextTo"/>
        <c:crossAx val="58420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Unit</a:t>
            </a:r>
            <a:r>
              <a:rPr lang="en-US" b="1" i="1" u="sng" baseline="0">
                <a:solidFill>
                  <a:schemeClr val="tx1"/>
                </a:solidFill>
              </a:rPr>
              <a:t> Produced By Year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rgbClr val="FFFF0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3'!$A$4:$A$18</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'Pivot 3'!$B$4:$B$18</c:f>
              <c:numCache>
                <c:formatCode>General</c:formatCode>
                <c:ptCount val="12"/>
                <c:pt idx="0">
                  <c:v>557</c:v>
                </c:pt>
                <c:pt idx="1">
                  <c:v>1995</c:v>
                </c:pt>
                <c:pt idx="2">
                  <c:v>3059</c:v>
                </c:pt>
                <c:pt idx="3">
                  <c:v>2031</c:v>
                </c:pt>
                <c:pt idx="4">
                  <c:v>1641</c:v>
                </c:pt>
                <c:pt idx="5">
                  <c:v>2235</c:v>
                </c:pt>
                <c:pt idx="6">
                  <c:v>575</c:v>
                </c:pt>
                <c:pt idx="7">
                  <c:v>858</c:v>
                </c:pt>
                <c:pt idx="8">
                  <c:v>618</c:v>
                </c:pt>
                <c:pt idx="9">
                  <c:v>921</c:v>
                </c:pt>
                <c:pt idx="10">
                  <c:v>115</c:v>
                </c:pt>
                <c:pt idx="11">
                  <c:v>1918</c:v>
                </c:pt>
              </c:numCache>
            </c:numRef>
          </c:val>
          <c:smooth val="0"/>
          <c:extLst>
            <c:ext xmlns:c16="http://schemas.microsoft.com/office/drawing/2014/chart" uri="{C3380CC4-5D6E-409C-BE32-E72D297353CC}">
              <c16:uniqueId val="{00000000-14AA-4C86-8CE8-0EF14923C93D}"/>
            </c:ext>
          </c:extLst>
        </c:ser>
        <c:dLbls>
          <c:showLegendKey val="0"/>
          <c:showVal val="1"/>
          <c:showCatName val="0"/>
          <c:showSerName val="0"/>
          <c:showPercent val="0"/>
          <c:showBubbleSize val="0"/>
        </c:dLbls>
        <c:axId val="637435615"/>
        <c:axId val="637436575"/>
        <c:axId val="639328127"/>
      </c:line3DChart>
      <c:catAx>
        <c:axId val="63743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7436575"/>
        <c:crosses val="autoZero"/>
        <c:auto val="1"/>
        <c:lblAlgn val="ctr"/>
        <c:lblOffset val="100"/>
        <c:noMultiLvlLbl val="0"/>
      </c:catAx>
      <c:valAx>
        <c:axId val="637436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7435615"/>
        <c:crosses val="autoZero"/>
        <c:crossBetween val="between"/>
      </c:valAx>
      <c:serAx>
        <c:axId val="6393281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4365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4!PivotTable4</c:name>
    <c:fmtId val="3"/>
  </c:pivotSource>
  <c:chart>
    <c:title>
      <c:tx>
        <c:rich>
          <a:bodyPr rot="0" spcFirstLastPara="1" vertOverflow="ellipsis" vert="horz" wrap="square" anchor="ctr" anchorCtr="1"/>
          <a:lstStyle/>
          <a:p>
            <a:pPr>
              <a:defRPr sz="1400" b="0" i="1" u="sng" strike="noStrike" kern="1200" spc="0" baseline="0">
                <a:solidFill>
                  <a:schemeClr val="tx1"/>
                </a:solidFill>
                <a:latin typeface="+mn-lt"/>
                <a:ea typeface="+mn-ea"/>
                <a:cs typeface="+mn-cs"/>
              </a:defRPr>
            </a:pPr>
            <a:r>
              <a:rPr lang="en-US" b="1" i="1" u="sng">
                <a:solidFill>
                  <a:schemeClr val="tx1"/>
                </a:solidFill>
              </a:rPr>
              <a:t>Average</a:t>
            </a:r>
            <a:r>
              <a:rPr lang="en-US" b="1" i="1" u="sng" baseline="0">
                <a:solidFill>
                  <a:schemeClr val="tx1"/>
                </a:solidFill>
              </a:rPr>
              <a:t> Production Cost Per Unit by Product Type</a:t>
            </a:r>
            <a:endParaRPr lang="en-US" b="1" i="1" u="sng">
              <a:solidFill>
                <a:schemeClr val="tx1"/>
              </a:solidFill>
            </a:endParaRPr>
          </a:p>
        </c:rich>
      </c:tx>
      <c:layout>
        <c:manualLayout>
          <c:xMode val="edge"/>
          <c:yMode val="edge"/>
          <c:x val="0.13953662182361731"/>
          <c:y val="2.3923444976076555E-2"/>
        </c:manualLayout>
      </c:layout>
      <c:overlay val="0"/>
      <c:spPr>
        <a:noFill/>
        <a:ln>
          <a:noFill/>
        </a:ln>
        <a:effectLst/>
      </c:spPr>
      <c:txPr>
        <a:bodyPr rot="0" spcFirstLastPara="1" vertOverflow="ellipsis" vert="horz" wrap="square" anchor="ctr" anchorCtr="1"/>
        <a:lstStyle/>
        <a:p>
          <a:pPr>
            <a:defRPr sz="1400" b="0"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tx1">
                <a:lumMod val="95000"/>
                <a:lumOff val="5000"/>
              </a:schemeClr>
            </a:solidFill>
          </a:ln>
          <a:effectLst/>
          <a:sp3d contourW="254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2"/>
        <c:spPr>
          <a:solidFill>
            <a:schemeClr val="accent6">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3"/>
        <c:spPr>
          <a:solidFill>
            <a:schemeClr val="tx2">
              <a:lumMod val="60000"/>
              <a:lumOff val="4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4"/>
        <c:spPr>
          <a:solidFill>
            <a:schemeClr val="accent5">
              <a:lumMod val="75000"/>
            </a:schemeClr>
          </a:solidFill>
          <a:ln w="25400">
            <a:solidFill>
              <a:schemeClr val="tx1">
                <a:lumMod val="95000"/>
                <a:lumOff val="5000"/>
              </a:schemeClr>
            </a:solidFill>
          </a:ln>
          <a:effectLst/>
          <a:sp3d contourW="25400">
            <a:contourClr>
              <a:schemeClr val="tx1">
                <a:lumMod val="95000"/>
                <a:lumOff val="5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ln>
              <a:solidFill>
                <a:schemeClr val="tx1">
                  <a:lumMod val="95000"/>
                  <a:lumOff val="5000"/>
                </a:schemeClr>
              </a:solidFill>
            </a:ln>
          </c:spPr>
          <c:dPt>
            <c:idx val="0"/>
            <c:bubble3D val="0"/>
            <c:spPr>
              <a:solidFill>
                <a:schemeClr val="accent6">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3-BD3C-4EE3-B0C8-8234E84060E0}"/>
              </c:ext>
            </c:extLst>
          </c:dPt>
          <c:dPt>
            <c:idx val="1"/>
            <c:bubble3D val="0"/>
            <c:spPr>
              <a:solidFill>
                <a:schemeClr val="accent2">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2-BD3C-4EE3-B0C8-8234E84060E0}"/>
              </c:ext>
            </c:extLst>
          </c:dPt>
          <c:dPt>
            <c:idx val="2"/>
            <c:bubble3D val="0"/>
            <c:spPr>
              <a:solidFill>
                <a:schemeClr val="accent5">
                  <a:lumMod val="75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5-BD3C-4EE3-B0C8-8234E84060E0}"/>
              </c:ext>
            </c:extLst>
          </c:dPt>
          <c:dPt>
            <c:idx val="3"/>
            <c:bubble3D val="0"/>
            <c:spPr>
              <a:solidFill>
                <a:schemeClr val="tx2">
                  <a:lumMod val="60000"/>
                  <a:lumOff val="40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4-BD3C-4EE3-B0C8-8234E84060E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79.438062521998219</c:v>
                </c:pt>
                <c:pt idx="1">
                  <c:v>127.34572842759093</c:v>
                </c:pt>
                <c:pt idx="2">
                  <c:v>275.5632476213309</c:v>
                </c:pt>
                <c:pt idx="3">
                  <c:v>108.86363236536448</c:v>
                </c:pt>
              </c:numCache>
            </c:numRef>
          </c:val>
          <c:extLst>
            <c:ext xmlns:c16="http://schemas.microsoft.com/office/drawing/2014/chart" uri="{C3380CC4-5D6E-409C-BE32-E72D297353CC}">
              <c16:uniqueId val="{00000000-BD3C-4EE3-B0C8-8234E84060E0}"/>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Production</a:t>
            </a:r>
            <a:r>
              <a:rPr lang="en-US" b="1" i="1" u="sng" baseline="0">
                <a:solidFill>
                  <a:schemeClr val="tx1"/>
                </a:solidFill>
              </a:rPr>
              <a:t> Cost By Type of Products</a:t>
            </a:r>
            <a:endParaRPr lang="en-US" b="1" i="1" u="sng">
              <a:solidFill>
                <a:schemeClr val="tx1"/>
              </a:solidFill>
            </a:endParaRPr>
          </a:p>
        </c:rich>
      </c:tx>
      <c:layout>
        <c:manualLayout>
          <c:xMode val="edge"/>
          <c:yMode val="edge"/>
          <c:x val="0.1747637795275590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483664</c:v>
                </c:pt>
                <c:pt idx="1">
                  <c:v>412019</c:v>
                </c:pt>
                <c:pt idx="2">
                  <c:v>258821</c:v>
                </c:pt>
                <c:pt idx="3">
                  <c:v>490158</c:v>
                </c:pt>
              </c:numCache>
            </c:numRef>
          </c:val>
          <c:extLst>
            <c:ext xmlns:c16="http://schemas.microsoft.com/office/drawing/2014/chart" uri="{C3380CC4-5D6E-409C-BE32-E72D297353CC}">
              <c16:uniqueId val="{00000000-F0FA-4B68-86D0-A58B2A155837}"/>
            </c:ext>
          </c:extLst>
        </c:ser>
        <c:dLbls>
          <c:showLegendKey val="0"/>
          <c:showVal val="0"/>
          <c:showCatName val="0"/>
          <c:showSerName val="0"/>
          <c:showPercent val="0"/>
          <c:showBubbleSize val="0"/>
        </c:dLbls>
        <c:gapWidth val="150"/>
        <c:shape val="box"/>
        <c:axId val="348427871"/>
        <c:axId val="348427391"/>
        <c:axId val="0"/>
      </c:bar3DChart>
      <c:catAx>
        <c:axId val="348427871"/>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8427391"/>
        <c:crosses val="autoZero"/>
        <c:auto val="1"/>
        <c:lblAlgn val="ctr"/>
        <c:lblOffset val="100"/>
        <c:noMultiLvlLbl val="0"/>
      </c:catAx>
      <c:valAx>
        <c:axId val="34842739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842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Unit</a:t>
            </a:r>
            <a:r>
              <a:rPr lang="en-US" b="1" baseline="0">
                <a:solidFill>
                  <a:schemeClr val="tx1"/>
                </a:solidFill>
              </a:rPr>
              <a:t> Produced per Manager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4</c:v>
                </c:pt>
                <c:pt idx="1">
                  <c:v>3</c:v>
                </c:pt>
                <c:pt idx="2">
                  <c:v>4</c:v>
                </c:pt>
                <c:pt idx="3">
                  <c:v>3</c:v>
                </c:pt>
                <c:pt idx="4">
                  <c:v>8</c:v>
                </c:pt>
                <c:pt idx="5">
                  <c:v>3</c:v>
                </c:pt>
                <c:pt idx="6">
                  <c:v>6</c:v>
                </c:pt>
                <c:pt idx="7">
                  <c:v>5</c:v>
                </c:pt>
                <c:pt idx="8">
                  <c:v>18</c:v>
                </c:pt>
                <c:pt idx="9">
                  <c:v>1</c:v>
                </c:pt>
              </c:numCache>
            </c:numRef>
          </c:val>
          <c:extLst>
            <c:ext xmlns:c16="http://schemas.microsoft.com/office/drawing/2014/chart" uri="{C3380CC4-5D6E-409C-BE32-E72D297353CC}">
              <c16:uniqueId val="{00000000-079D-40C6-916A-A2247FDD1074}"/>
            </c:ext>
          </c:extLst>
        </c:ser>
        <c:dLbls>
          <c:showLegendKey val="0"/>
          <c:showVal val="1"/>
          <c:showCatName val="0"/>
          <c:showSerName val="0"/>
          <c:showPercent val="0"/>
          <c:showBubbleSize val="0"/>
        </c:dLbls>
        <c:gapWidth val="150"/>
        <c:shape val="box"/>
        <c:axId val="584201471"/>
        <c:axId val="584198591"/>
        <c:axId val="0"/>
      </c:bar3DChart>
      <c:catAx>
        <c:axId val="58420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84198591"/>
        <c:crosses val="autoZero"/>
        <c:auto val="1"/>
        <c:lblAlgn val="ctr"/>
        <c:lblOffset val="100"/>
        <c:noMultiLvlLbl val="0"/>
      </c:catAx>
      <c:valAx>
        <c:axId val="584198591"/>
        <c:scaling>
          <c:orientation val="minMax"/>
        </c:scaling>
        <c:delete val="1"/>
        <c:axPos val="b"/>
        <c:numFmt formatCode="General" sourceLinked="1"/>
        <c:majorTickMark val="none"/>
        <c:minorTickMark val="none"/>
        <c:tickLblPos val="nextTo"/>
        <c:crossAx val="58420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Unit</a:t>
            </a:r>
            <a:r>
              <a:rPr lang="en-US" b="1" i="1" u="sng" baseline="0">
                <a:solidFill>
                  <a:schemeClr val="tx1"/>
                </a:solidFill>
              </a:rPr>
              <a:t> Produced By Year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rgbClr val="FFFF0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3'!$A$4:$A$18</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'Pivot 3'!$B$4:$B$18</c:f>
              <c:numCache>
                <c:formatCode>General</c:formatCode>
                <c:ptCount val="12"/>
                <c:pt idx="0">
                  <c:v>557</c:v>
                </c:pt>
                <c:pt idx="1">
                  <c:v>1995</c:v>
                </c:pt>
                <c:pt idx="2">
                  <c:v>3059</c:v>
                </c:pt>
                <c:pt idx="3">
                  <c:v>2031</c:v>
                </c:pt>
                <c:pt idx="4">
                  <c:v>1641</c:v>
                </c:pt>
                <c:pt idx="5">
                  <c:v>2235</c:v>
                </c:pt>
                <c:pt idx="6">
                  <c:v>575</c:v>
                </c:pt>
                <c:pt idx="7">
                  <c:v>858</c:v>
                </c:pt>
                <c:pt idx="8">
                  <c:v>618</c:v>
                </c:pt>
                <c:pt idx="9">
                  <c:v>921</c:v>
                </c:pt>
                <c:pt idx="10">
                  <c:v>115</c:v>
                </c:pt>
                <c:pt idx="11">
                  <c:v>1918</c:v>
                </c:pt>
              </c:numCache>
            </c:numRef>
          </c:val>
          <c:smooth val="0"/>
          <c:extLst>
            <c:ext xmlns:c16="http://schemas.microsoft.com/office/drawing/2014/chart" uri="{C3380CC4-5D6E-409C-BE32-E72D297353CC}">
              <c16:uniqueId val="{00000000-7049-4E71-888D-3D98C9859259}"/>
            </c:ext>
          </c:extLst>
        </c:ser>
        <c:dLbls>
          <c:showLegendKey val="0"/>
          <c:showVal val="1"/>
          <c:showCatName val="0"/>
          <c:showSerName val="0"/>
          <c:showPercent val="0"/>
          <c:showBubbleSize val="0"/>
        </c:dLbls>
        <c:axId val="637435615"/>
        <c:axId val="637436575"/>
        <c:axId val="639328127"/>
      </c:line3DChart>
      <c:catAx>
        <c:axId val="63743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7436575"/>
        <c:crosses val="autoZero"/>
        <c:auto val="1"/>
        <c:lblAlgn val="ctr"/>
        <c:lblOffset val="100"/>
        <c:noMultiLvlLbl val="0"/>
      </c:catAx>
      <c:valAx>
        <c:axId val="637436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7435615"/>
        <c:crosses val="autoZero"/>
        <c:crossBetween val="between"/>
      </c:valAx>
      <c:serAx>
        <c:axId val="6393281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4365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[Excel+Report+2.xlsx]Pivot 4!PivotTable4</c:name>
    <c:fmtId val="5"/>
  </c:pivotSource>
  <c:chart>
    <c:title>
      <c:tx>
        <c:rich>
          <a:bodyPr rot="0" spcFirstLastPara="1" vertOverflow="ellipsis" vert="horz" wrap="square" anchor="ctr" anchorCtr="1"/>
          <a:lstStyle/>
          <a:p>
            <a:pPr>
              <a:defRPr sz="1400" b="0" i="1" u="sng" strike="noStrike" kern="1200" spc="0" baseline="0">
                <a:solidFill>
                  <a:schemeClr val="tx1"/>
                </a:solidFill>
                <a:latin typeface="+mn-lt"/>
                <a:ea typeface="+mn-ea"/>
                <a:cs typeface="+mn-cs"/>
              </a:defRPr>
            </a:pPr>
            <a:r>
              <a:rPr lang="en-US" b="1" i="1" u="sng">
                <a:solidFill>
                  <a:schemeClr val="tx1"/>
                </a:solidFill>
              </a:rPr>
              <a:t>Average</a:t>
            </a:r>
            <a:r>
              <a:rPr lang="en-US" b="1" i="1" u="sng" baseline="0">
                <a:solidFill>
                  <a:schemeClr val="tx1"/>
                </a:solidFill>
              </a:rPr>
              <a:t> Production Cost Per Unit by Product Type</a:t>
            </a:r>
            <a:endParaRPr lang="en-US" b="1" i="1" u="sng">
              <a:solidFill>
                <a:schemeClr val="tx1"/>
              </a:solidFill>
            </a:endParaRPr>
          </a:p>
        </c:rich>
      </c:tx>
      <c:layout>
        <c:manualLayout>
          <c:xMode val="edge"/>
          <c:yMode val="edge"/>
          <c:x val="0.13953662182361731"/>
          <c:y val="2.3923444976076555E-2"/>
        </c:manualLayout>
      </c:layout>
      <c:overlay val="0"/>
      <c:spPr>
        <a:noFill/>
        <a:ln>
          <a:noFill/>
        </a:ln>
        <a:effectLst/>
      </c:spPr>
      <c:txPr>
        <a:bodyPr rot="0" spcFirstLastPara="1" vertOverflow="ellipsis" vert="horz" wrap="square" anchor="ctr" anchorCtr="1"/>
        <a:lstStyle/>
        <a:p>
          <a:pPr>
            <a:defRPr sz="1400" b="0"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tx1">
                <a:lumMod val="95000"/>
                <a:lumOff val="5000"/>
              </a:schemeClr>
            </a:solidFill>
          </a:ln>
          <a:effectLst/>
          <a:sp3d contourW="254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2"/>
        <c:spPr>
          <a:solidFill>
            <a:schemeClr val="accent6">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3"/>
        <c:spPr>
          <a:solidFill>
            <a:schemeClr val="tx2">
              <a:lumMod val="60000"/>
              <a:lumOff val="4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4"/>
        <c:spPr>
          <a:solidFill>
            <a:schemeClr val="accent5">
              <a:lumMod val="75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5"/>
        <c:spPr>
          <a:solidFill>
            <a:schemeClr val="accent1"/>
          </a:solidFill>
          <a:ln w="25400">
            <a:solidFill>
              <a:schemeClr val="tx1">
                <a:lumMod val="95000"/>
                <a:lumOff val="5000"/>
              </a:schemeClr>
            </a:solidFill>
          </a:ln>
          <a:effectLst/>
          <a:sp3d contourW="254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7"/>
        <c:spPr>
          <a:solidFill>
            <a:schemeClr val="accent2">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8"/>
        <c:spPr>
          <a:solidFill>
            <a:schemeClr val="accent5">
              <a:lumMod val="75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9"/>
        <c:spPr>
          <a:solidFill>
            <a:schemeClr val="tx2">
              <a:lumMod val="60000"/>
              <a:lumOff val="4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10"/>
        <c:spPr>
          <a:solidFill>
            <a:schemeClr val="accent1"/>
          </a:solidFill>
          <a:ln w="25400">
            <a:solidFill>
              <a:schemeClr val="tx1">
                <a:lumMod val="95000"/>
                <a:lumOff val="5000"/>
              </a:schemeClr>
            </a:solidFill>
          </a:ln>
          <a:effectLst/>
          <a:sp3d contourW="254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12"/>
        <c:spPr>
          <a:solidFill>
            <a:schemeClr val="accent2">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13"/>
        <c:spPr>
          <a:solidFill>
            <a:schemeClr val="accent5">
              <a:lumMod val="75000"/>
            </a:schemeClr>
          </a:solidFill>
          <a:ln w="25400">
            <a:solidFill>
              <a:schemeClr val="tx1">
                <a:lumMod val="95000"/>
                <a:lumOff val="5000"/>
              </a:schemeClr>
            </a:solidFill>
          </a:ln>
          <a:effectLst/>
          <a:sp3d contourW="25400">
            <a:contourClr>
              <a:schemeClr val="tx1">
                <a:lumMod val="95000"/>
                <a:lumOff val="5000"/>
              </a:schemeClr>
            </a:contourClr>
          </a:sp3d>
        </c:spPr>
      </c:pivotFmt>
      <c:pivotFmt>
        <c:idx val="14"/>
        <c:spPr>
          <a:solidFill>
            <a:schemeClr val="tx2">
              <a:lumMod val="60000"/>
              <a:lumOff val="40000"/>
            </a:schemeClr>
          </a:solidFill>
          <a:ln w="25400">
            <a:solidFill>
              <a:schemeClr val="tx1">
                <a:lumMod val="95000"/>
                <a:lumOff val="5000"/>
              </a:schemeClr>
            </a:solidFill>
          </a:ln>
          <a:effectLst/>
          <a:sp3d contourW="25400">
            <a:contourClr>
              <a:schemeClr val="tx1">
                <a:lumMod val="95000"/>
                <a:lumOff val="5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904036659094744E-2"/>
          <c:y val="0.20388489118286052"/>
          <c:w val="0.82019192668181051"/>
          <c:h val="0.69625733087191854"/>
        </c:manualLayout>
      </c:layout>
      <c:pie3DChart>
        <c:varyColors val="1"/>
        <c:ser>
          <c:idx val="0"/>
          <c:order val="0"/>
          <c:tx>
            <c:strRef>
              <c:f>'Pivot 4'!$B$3</c:f>
              <c:strCache>
                <c:ptCount val="1"/>
                <c:pt idx="0">
                  <c:v>Total</c:v>
                </c:pt>
              </c:strCache>
            </c:strRef>
          </c:tx>
          <c:spPr>
            <a:ln>
              <a:solidFill>
                <a:schemeClr val="tx1">
                  <a:lumMod val="95000"/>
                  <a:lumOff val="5000"/>
                </a:schemeClr>
              </a:solidFill>
            </a:ln>
          </c:spPr>
          <c:dPt>
            <c:idx val="0"/>
            <c:bubble3D val="0"/>
            <c:spPr>
              <a:solidFill>
                <a:schemeClr val="accent6">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1-B74D-48AA-ADD9-3C7E9AFE346F}"/>
              </c:ext>
            </c:extLst>
          </c:dPt>
          <c:dPt>
            <c:idx val="1"/>
            <c:bubble3D val="0"/>
            <c:spPr>
              <a:solidFill>
                <a:schemeClr val="accent2">
                  <a:lumMod val="40000"/>
                  <a:lumOff val="60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3-B74D-48AA-ADD9-3C7E9AFE346F}"/>
              </c:ext>
            </c:extLst>
          </c:dPt>
          <c:dPt>
            <c:idx val="2"/>
            <c:bubble3D val="0"/>
            <c:spPr>
              <a:solidFill>
                <a:schemeClr val="accent5">
                  <a:lumMod val="75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5-B74D-48AA-ADD9-3C7E9AFE346F}"/>
              </c:ext>
            </c:extLst>
          </c:dPt>
          <c:dPt>
            <c:idx val="3"/>
            <c:bubble3D val="0"/>
            <c:spPr>
              <a:solidFill>
                <a:schemeClr val="tx2">
                  <a:lumMod val="60000"/>
                  <a:lumOff val="40000"/>
                </a:schemeClr>
              </a:solidFill>
              <a:ln w="25400">
                <a:solidFill>
                  <a:schemeClr val="tx1">
                    <a:lumMod val="95000"/>
                    <a:lumOff val="5000"/>
                  </a:schemeClr>
                </a:solidFill>
              </a:ln>
              <a:effectLst/>
              <a:sp3d contourW="25400">
                <a:contourClr>
                  <a:schemeClr val="tx1">
                    <a:lumMod val="95000"/>
                    <a:lumOff val="5000"/>
                  </a:schemeClr>
                </a:contourClr>
              </a:sp3d>
            </c:spPr>
            <c:extLst>
              <c:ext xmlns:c16="http://schemas.microsoft.com/office/drawing/2014/chart" uri="{C3380CC4-5D6E-409C-BE32-E72D297353CC}">
                <c16:uniqueId val="{00000007-B74D-48AA-ADD9-3C7E9AFE346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79.438062521998219</c:v>
                </c:pt>
                <c:pt idx="1">
                  <c:v>127.34572842759093</c:v>
                </c:pt>
                <c:pt idx="2">
                  <c:v>275.5632476213309</c:v>
                </c:pt>
                <c:pt idx="3">
                  <c:v>108.86363236536448</c:v>
                </c:pt>
              </c:numCache>
            </c:numRef>
          </c:val>
          <c:extLst>
            <c:ext xmlns:c16="http://schemas.microsoft.com/office/drawing/2014/chart" uri="{C3380CC4-5D6E-409C-BE32-E72D297353CC}">
              <c16:uniqueId val="{00000008-B74D-48AA-ADD9-3C7E9AFE346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426720</xdr:colOff>
      <xdr:row>1</xdr:row>
      <xdr:rowOff>106680</xdr:rowOff>
    </xdr:from>
    <xdr:to>
      <xdr:col>11</xdr:col>
      <xdr:colOff>121920</xdr:colOff>
      <xdr:row>16</xdr:row>
      <xdr:rowOff>106680</xdr:rowOff>
    </xdr:to>
    <xdr:graphicFrame macro="">
      <xdr:nvGraphicFramePr>
        <xdr:cNvPr id="2" name="Chart 1">
          <a:extLst>
            <a:ext uri="{FF2B5EF4-FFF2-40B4-BE49-F238E27FC236}">
              <a16:creationId xmlns:a16="http://schemas.microsoft.com/office/drawing/2014/main" id="{38BD74B8-8BAF-4B82-F46F-D4E8F824A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0</xdr:row>
      <xdr:rowOff>160020</xdr:rowOff>
    </xdr:from>
    <xdr:to>
      <xdr:col>11</xdr:col>
      <xdr:colOff>350520</xdr:colOff>
      <xdr:row>19</xdr:row>
      <xdr:rowOff>30480</xdr:rowOff>
    </xdr:to>
    <xdr:graphicFrame macro="">
      <xdr:nvGraphicFramePr>
        <xdr:cNvPr id="2" name="Chart 1">
          <a:extLst>
            <a:ext uri="{FF2B5EF4-FFF2-40B4-BE49-F238E27FC236}">
              <a16:creationId xmlns:a16="http://schemas.microsoft.com/office/drawing/2014/main" id="{6685AB49-CB16-7512-A5F6-BEF02E3DD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502920</xdr:colOff>
      <xdr:row>2</xdr:row>
      <xdr:rowOff>76200</xdr:rowOff>
    </xdr:from>
    <xdr:to>
      <xdr:col>10</xdr:col>
      <xdr:colOff>601980</xdr:colOff>
      <xdr:row>18</xdr:row>
      <xdr:rowOff>114300</xdr:rowOff>
    </xdr:to>
    <xdr:graphicFrame macro="">
      <xdr:nvGraphicFramePr>
        <xdr:cNvPr id="2" name="Chart 1">
          <a:extLst>
            <a:ext uri="{FF2B5EF4-FFF2-40B4-BE49-F238E27FC236}">
              <a16:creationId xmlns:a16="http://schemas.microsoft.com/office/drawing/2014/main" id="{1D12B3EB-BF97-4CC4-608B-35A07425B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121920</xdr:colOff>
      <xdr:row>1</xdr:row>
      <xdr:rowOff>152400</xdr:rowOff>
    </xdr:from>
    <xdr:to>
      <xdr:col>10</xdr:col>
      <xdr:colOff>342900</xdr:colOff>
      <xdr:row>19</xdr:row>
      <xdr:rowOff>45720</xdr:rowOff>
    </xdr:to>
    <xdr:graphicFrame macro="">
      <xdr:nvGraphicFramePr>
        <xdr:cNvPr id="2" name="Chart 1">
          <a:extLst>
            <a:ext uri="{FF2B5EF4-FFF2-40B4-BE49-F238E27FC236}">
              <a16:creationId xmlns:a16="http://schemas.microsoft.com/office/drawing/2014/main" id="{1EDDF504-04BA-E623-0534-82F1F6424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287482</xdr:colOff>
      <xdr:row>12</xdr:row>
      <xdr:rowOff>6235</xdr:rowOff>
    </xdr:from>
    <xdr:to>
      <xdr:col>13</xdr:col>
      <xdr:colOff>594592</xdr:colOff>
      <xdr:row>27</xdr:row>
      <xdr:rowOff>150091</xdr:rowOff>
    </xdr:to>
    <xdr:graphicFrame macro="">
      <xdr:nvGraphicFramePr>
        <xdr:cNvPr id="2" name="Chart 1">
          <a:extLst>
            <a:ext uri="{FF2B5EF4-FFF2-40B4-BE49-F238E27FC236}">
              <a16:creationId xmlns:a16="http://schemas.microsoft.com/office/drawing/2014/main" id="{66AC0FF8-990C-41B7-9761-68B0DAB99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80819</xdr:colOff>
      <xdr:row>12</xdr:row>
      <xdr:rowOff>13854</xdr:rowOff>
    </xdr:from>
    <xdr:to>
      <xdr:col>23</xdr:col>
      <xdr:colOff>311727</xdr:colOff>
      <xdr:row>30</xdr:row>
      <xdr:rowOff>69041</xdr:rowOff>
    </xdr:to>
    <xdr:graphicFrame macro="">
      <xdr:nvGraphicFramePr>
        <xdr:cNvPr id="3" name="Chart 2">
          <a:extLst>
            <a:ext uri="{FF2B5EF4-FFF2-40B4-BE49-F238E27FC236}">
              <a16:creationId xmlns:a16="http://schemas.microsoft.com/office/drawing/2014/main" id="{09224B2D-BE11-4349-849D-C73D9AE16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69273</xdr:colOff>
      <xdr:row>31</xdr:row>
      <xdr:rowOff>0</xdr:rowOff>
    </xdr:from>
    <xdr:to>
      <xdr:col>23</xdr:col>
      <xdr:colOff>323273</xdr:colOff>
      <xdr:row>47</xdr:row>
      <xdr:rowOff>170179</xdr:rowOff>
    </xdr:to>
    <xdr:graphicFrame macro="">
      <xdr:nvGraphicFramePr>
        <xdr:cNvPr id="4" name="Chart 3">
          <a:extLst>
            <a:ext uri="{FF2B5EF4-FFF2-40B4-BE49-F238E27FC236}">
              <a16:creationId xmlns:a16="http://schemas.microsoft.com/office/drawing/2014/main" id="{B56CA3B2-EF96-476B-9649-8C02F56F1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265545</xdr:colOff>
      <xdr:row>28</xdr:row>
      <xdr:rowOff>69272</xdr:rowOff>
    </xdr:from>
    <xdr:to>
      <xdr:col>13</xdr:col>
      <xdr:colOff>571962</xdr:colOff>
      <xdr:row>47</xdr:row>
      <xdr:rowOff>173181</xdr:rowOff>
    </xdr:to>
    <xdr:graphicFrame macro="">
      <xdr:nvGraphicFramePr>
        <xdr:cNvPr id="5" name="Chart 4">
          <a:extLst>
            <a:ext uri="{FF2B5EF4-FFF2-40B4-BE49-F238E27FC236}">
              <a16:creationId xmlns:a16="http://schemas.microsoft.com/office/drawing/2014/main" id="{977A3826-94AE-40C9-8D27-5E7CD0FDA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103909</xdr:colOff>
      <xdr:row>3</xdr:row>
      <xdr:rowOff>94210</xdr:rowOff>
    </xdr:from>
    <xdr:to>
      <xdr:col>23</xdr:col>
      <xdr:colOff>300182</xdr:colOff>
      <xdr:row>11</xdr:row>
      <xdr:rowOff>69271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EEC5150-3B82-1E7B-1181-2632992D15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18273" y="648392"/>
              <a:ext cx="3255818" cy="1452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288635</xdr:colOff>
      <xdr:row>3</xdr:row>
      <xdr:rowOff>89362</xdr:rowOff>
    </xdr:from>
    <xdr:to>
      <xdr:col>11</xdr:col>
      <xdr:colOff>473364</xdr:colOff>
      <xdr:row>11</xdr:row>
      <xdr:rowOff>80818</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8D5C0D6E-7D4D-4C14-7FFA-066A92AD34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60090" y="643544"/>
              <a:ext cx="3244274" cy="1469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103909</xdr:colOff>
      <xdr:row>3</xdr:row>
      <xdr:rowOff>92363</xdr:rowOff>
    </xdr:from>
    <xdr:to>
      <xdr:col>17</xdr:col>
      <xdr:colOff>519545</xdr:colOff>
      <xdr:row>11</xdr:row>
      <xdr:rowOff>69272</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C7C14352-BEF4-D2D9-8580-E1282E608C5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446818" y="646545"/>
              <a:ext cx="3475182" cy="145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l Mulani" refreshedDate="46053.860354976852" createdVersion="8" refreshedVersion="8" minRefreshableVersion="3" recordCount="120" xr:uid="{9574577B-436F-49BC-A82C-7BF25344BB21}">
  <cacheSource type="worksheet">
    <worksheetSource name="Table1"/>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 numFmtId="0">
      <sharedItems count="3">
        <s v="Young"/>
        <s v="Super Senior"/>
        <s v="Senior"/>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473111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51FF61-B0F8-4B85-A360-9FBD26398CB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h="1" x="2"/>
        <item h="1"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246897-5413-4326-A12C-E01D05E3FE1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h="1" x="2"/>
        <item h="1"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items count="4">
        <item x="0"/>
        <item x="1"/>
        <item x="2"/>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ProductionID" fld="0" subtotal="count" baseField="3" baseItem="1"/>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D65A39-56FF-4217-9818-976247F034AB}"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h="1" x="2"/>
        <item h="1"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5">
    <i>
      <x v="1"/>
    </i>
    <i r="1">
      <x v="9"/>
    </i>
    <i r="1">
      <x v="10"/>
    </i>
    <i r="1">
      <x v="11"/>
    </i>
    <i r="1">
      <x v="12"/>
    </i>
    <i>
      <x v="2"/>
    </i>
    <i r="1">
      <x v="1"/>
    </i>
    <i r="1">
      <x v="2"/>
    </i>
    <i r="1">
      <x v="3"/>
    </i>
    <i r="1">
      <x v="4"/>
    </i>
    <i r="1">
      <x v="5"/>
    </i>
    <i r="1">
      <x v="6"/>
    </i>
    <i r="1">
      <x v="7"/>
    </i>
    <i r="1">
      <x v="8"/>
    </i>
    <i t="grand">
      <x/>
    </i>
  </rowItems>
  <colItems count="1">
    <i/>
  </colItems>
  <dataFields count="1">
    <dataField name="Sum of UnitsProduced" fld="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CE888B-B339-47AC-B3CD-24B05528DBCA}"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h="1" x="2"/>
        <item h="1"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2"/>
        <item x="1"/>
        <item x="0"/>
        <item t="default"/>
      </items>
    </pivotField>
    <pivotField dataField="1" numFmtId="1"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0" baseItem="0" numFmtId="1"/>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063E61-7CF4-4E72-80C6-405686F6A2D9}" sourceName="Region">
  <pivotTables>
    <pivotTable tabId="5" name="PivotTable2"/>
    <pivotTable tabId="4" name="PivotTable1"/>
    <pivotTable tabId="6" name="PivotTable3"/>
    <pivotTable tabId="7" name="PivotTable4"/>
  </pivotTables>
  <data>
    <tabular pivotCacheId="473111979">
      <items count="4">
        <i x="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524945-F39E-449E-AA7C-88180ABC47C5}" sourceName="Gender">
  <pivotTables>
    <pivotTable tabId="5" name="PivotTable2"/>
    <pivotTable tabId="4" name="PivotTable1"/>
    <pivotTable tabId="6" name="PivotTable3"/>
    <pivotTable tabId="7" name="PivotTable4"/>
  </pivotTables>
  <data>
    <tabular pivotCacheId="4731119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82E914B-15CE-499A-831C-8DAB08B02B06}" sourceName="Age group">
  <pivotTables>
    <pivotTable tabId="5" name="PivotTable2"/>
    <pivotTable tabId="4" name="PivotTable1"/>
    <pivotTable tabId="6" name="PivotTable3"/>
    <pivotTable tabId="7" name="PivotTable4"/>
  </pivotTables>
  <data>
    <tabular pivotCacheId="4731119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2064A6-15B9-4615-8AD3-FB29014E8A38}" cache="Slicer_Region" caption="Region" rowHeight="234950"/>
  <slicer name="Gender" xr10:uid="{647F701A-6B27-4117-8818-69C4EA724531}" cache="Slicer_Gender" caption="Gender" rowHeight="234950"/>
  <slicer name="Age group" xr10:uid="{6A43ACC8-ED58-4311-AA0D-D21D7CFCDF34}" cache="Slicer_Age_group"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6EC9B9-5FD1-4F65-AE57-BA4F08A143AA}" name="Table1" displayName="Table1" ref="A1:K121" totalsRowShown="0">
  <autoFilter ref="A1:K121" xr:uid="{336EC9B9-5FD1-4F65-AE57-BA4F08A143AA}"/>
  <sortState xmlns:xlrd2="http://schemas.microsoft.com/office/spreadsheetml/2017/richdata2" ref="A2:I121">
    <sortCondition ref="A1:A121"/>
  </sortState>
  <tableColumns count="11">
    <tableColumn id="1" xr3:uid="{B8D1CCA0-FA5C-4278-B08A-C01FBAF43A9F}" name="ProductionID"/>
    <tableColumn id="2" xr3:uid="{E209F87B-7697-4CF0-A2A9-EC24B1D54445}" name="ProductionDate" dataDxfId="6"/>
    <tableColumn id="3" xr3:uid="{8F8952B0-BD04-4F63-A837-943FC4BFBFE7}" name="Region"/>
    <tableColumn id="4" xr3:uid="{FCAE8C05-1A45-4897-9624-0307773214E4}" name="Manager"/>
    <tableColumn id="5" xr3:uid="{FCF8340F-F179-4656-9B93-77FE9BD3BE3E}" name="ProductType"/>
    <tableColumn id="6" xr3:uid="{3A4B0BCC-8EEA-40C5-B074-5FE978D33AA5}" name="UnitsProduced"/>
    <tableColumn id="7" xr3:uid="{068DD47E-29E5-43CC-88FD-06618827A47B}" name="TotalCost"/>
    <tableColumn id="8" xr3:uid="{3FECEBC8-4BD9-454F-80E1-E77208DA09FF}" name="Gender"/>
    <tableColumn id="9" xr3:uid="{B3E959C8-2996-45E9-8655-0F606957BE07}" name="True Age"/>
    <tableColumn id="10" xr3:uid="{AE1055CD-2D1B-4361-B98C-F60D1E376DC5}" name="Age group" dataDxfId="5">
      <calculatedColumnFormula>IF(Table1[[#This Row],[True Age]]&lt;=35,"Young",IF(Table1[[#This Row],[True Age]]&lt;=45,"Senior","Super Senior"))</calculatedColumnFormula>
    </tableColumn>
    <tableColumn id="11" xr3:uid="{5EC61AB8-0E11-4C74-A443-34322057BFB8}" name="Production Cost Per Unit" dataDxfId="4">
      <calculatedColumnFormula>Table1[[#This Row],[TotalCost]]/Table1[[#This Row],[UnitsProduced]]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opLeftCell="A13" zoomScale="115" workbookViewId="0">
      <selection activeCell="F32" sqref="F32"/>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s>
  <sheetData>
    <row r="1" spans="1:9" x14ac:dyDescent="0.3">
      <c r="A1" t="s">
        <v>0</v>
      </c>
      <c r="B1" t="s">
        <v>1</v>
      </c>
      <c r="C1" t="s">
        <v>2</v>
      </c>
      <c r="D1" t="s">
        <v>3</v>
      </c>
      <c r="E1" t="s">
        <v>4</v>
      </c>
      <c r="F1" t="s">
        <v>5</v>
      </c>
      <c r="G1" t="s">
        <v>6</v>
      </c>
      <c r="H1" t="s">
        <v>7</v>
      </c>
      <c r="I1" s="2" t="s">
        <v>30</v>
      </c>
    </row>
    <row r="2" spans="1:9" x14ac:dyDescent="0.3">
      <c r="A2">
        <v>48</v>
      </c>
      <c r="B2" s="1">
        <v>45191</v>
      </c>
      <c r="C2" t="s">
        <v>15</v>
      </c>
      <c r="D2" t="s">
        <v>20</v>
      </c>
      <c r="E2" t="s">
        <v>23</v>
      </c>
      <c r="F2">
        <v>214</v>
      </c>
      <c r="G2">
        <v>11954</v>
      </c>
      <c r="H2" t="s">
        <v>11</v>
      </c>
      <c r="I2">
        <v>26</v>
      </c>
    </row>
    <row r="3" spans="1:9" x14ac:dyDescent="0.3">
      <c r="A3">
        <v>56</v>
      </c>
      <c r="B3" s="1">
        <v>45193</v>
      </c>
      <c r="C3" t="s">
        <v>12</v>
      </c>
      <c r="D3" t="s">
        <v>24</v>
      </c>
      <c r="E3" t="s">
        <v>10</v>
      </c>
      <c r="F3">
        <v>344</v>
      </c>
      <c r="G3">
        <v>13872</v>
      </c>
      <c r="H3" t="s">
        <v>11</v>
      </c>
      <c r="I3">
        <v>42</v>
      </c>
    </row>
    <row r="4" spans="1:9" x14ac:dyDescent="0.3">
      <c r="A4">
        <v>74</v>
      </c>
      <c r="B4" s="1">
        <v>45197</v>
      </c>
      <c r="C4" t="s">
        <v>12</v>
      </c>
      <c r="D4" t="s">
        <v>13</v>
      </c>
      <c r="E4" t="s">
        <v>23</v>
      </c>
      <c r="F4">
        <v>213</v>
      </c>
      <c r="G4">
        <v>42028</v>
      </c>
      <c r="H4" t="s">
        <v>11</v>
      </c>
      <c r="I4">
        <v>52</v>
      </c>
    </row>
    <row r="5" spans="1:9" x14ac:dyDescent="0.3">
      <c r="A5">
        <v>30</v>
      </c>
      <c r="B5" s="1">
        <v>45200</v>
      </c>
      <c r="C5" t="s">
        <v>12</v>
      </c>
      <c r="D5" t="s">
        <v>25</v>
      </c>
      <c r="E5" t="s">
        <v>10</v>
      </c>
      <c r="F5">
        <v>290</v>
      </c>
      <c r="G5">
        <v>15132</v>
      </c>
      <c r="H5" t="s">
        <v>28</v>
      </c>
      <c r="I5">
        <v>25</v>
      </c>
    </row>
    <row r="6" spans="1:9" x14ac:dyDescent="0.3">
      <c r="A6">
        <v>46</v>
      </c>
      <c r="B6" s="1">
        <v>45207</v>
      </c>
      <c r="C6" t="s">
        <v>12</v>
      </c>
      <c r="D6" t="s">
        <v>21</v>
      </c>
      <c r="E6" t="s">
        <v>10</v>
      </c>
      <c r="F6">
        <v>231</v>
      </c>
      <c r="G6">
        <v>32045</v>
      </c>
      <c r="H6" t="s">
        <v>11</v>
      </c>
      <c r="I6">
        <v>28</v>
      </c>
    </row>
    <row r="7" spans="1:9" x14ac:dyDescent="0.3">
      <c r="A7">
        <v>35</v>
      </c>
      <c r="B7" s="1">
        <v>45214</v>
      </c>
      <c r="C7" t="s">
        <v>12</v>
      </c>
      <c r="D7" t="s">
        <v>13</v>
      </c>
      <c r="E7" t="s">
        <v>17</v>
      </c>
      <c r="F7">
        <v>260</v>
      </c>
      <c r="G7">
        <v>34680</v>
      </c>
      <c r="H7" t="s">
        <v>18</v>
      </c>
      <c r="I7">
        <v>52</v>
      </c>
    </row>
    <row r="8" spans="1:9" x14ac:dyDescent="0.3">
      <c r="A8">
        <v>4</v>
      </c>
      <c r="B8" s="1">
        <v>45214</v>
      </c>
      <c r="C8" t="s">
        <v>12</v>
      </c>
      <c r="D8" t="s">
        <v>19</v>
      </c>
      <c r="E8" t="s">
        <v>17</v>
      </c>
      <c r="F8">
        <v>459</v>
      </c>
      <c r="G8">
        <v>17069</v>
      </c>
      <c r="H8" t="s">
        <v>28</v>
      </c>
      <c r="I8">
        <v>57</v>
      </c>
    </row>
    <row r="9" spans="1:9" x14ac:dyDescent="0.3">
      <c r="A9">
        <v>101</v>
      </c>
      <c r="B9" s="1">
        <v>45215</v>
      </c>
      <c r="C9" t="s">
        <v>8</v>
      </c>
      <c r="D9" t="s">
        <v>9</v>
      </c>
      <c r="E9" t="s">
        <v>14</v>
      </c>
      <c r="F9">
        <v>384</v>
      </c>
      <c r="G9">
        <v>40565</v>
      </c>
      <c r="H9" t="s">
        <v>11</v>
      </c>
      <c r="I9">
        <v>25</v>
      </c>
    </row>
    <row r="10" spans="1:9" x14ac:dyDescent="0.3">
      <c r="A10">
        <v>17</v>
      </c>
      <c r="B10" s="1">
        <v>45215</v>
      </c>
      <c r="C10" t="s">
        <v>12</v>
      </c>
      <c r="D10" t="s">
        <v>24</v>
      </c>
      <c r="E10" t="s">
        <v>17</v>
      </c>
      <c r="F10">
        <v>240</v>
      </c>
      <c r="G10">
        <v>65052</v>
      </c>
      <c r="H10" t="s">
        <v>11</v>
      </c>
      <c r="I10">
        <v>42</v>
      </c>
    </row>
    <row r="11" spans="1:9" x14ac:dyDescent="0.3">
      <c r="A11">
        <v>53</v>
      </c>
      <c r="B11" s="1">
        <v>45216</v>
      </c>
      <c r="C11" t="s">
        <v>27</v>
      </c>
      <c r="D11" t="s">
        <v>24</v>
      </c>
      <c r="E11" t="s">
        <v>17</v>
      </c>
      <c r="F11">
        <v>63</v>
      </c>
      <c r="G11">
        <v>3960</v>
      </c>
      <c r="H11" t="s">
        <v>18</v>
      </c>
      <c r="I11">
        <v>42</v>
      </c>
    </row>
    <row r="12" spans="1:9" x14ac:dyDescent="0.3">
      <c r="A12">
        <v>76</v>
      </c>
      <c r="B12" s="1">
        <v>45217</v>
      </c>
      <c r="C12" t="s">
        <v>15</v>
      </c>
      <c r="D12" t="s">
        <v>9</v>
      </c>
      <c r="E12" t="s">
        <v>23</v>
      </c>
      <c r="F12">
        <v>208</v>
      </c>
      <c r="G12">
        <v>25758</v>
      </c>
      <c r="H12" t="s">
        <v>28</v>
      </c>
      <c r="I12">
        <v>25</v>
      </c>
    </row>
    <row r="13" spans="1:9" x14ac:dyDescent="0.3">
      <c r="A13">
        <v>9</v>
      </c>
      <c r="B13" s="1">
        <v>45217</v>
      </c>
      <c r="C13" t="s">
        <v>12</v>
      </c>
      <c r="D13" t="s">
        <v>24</v>
      </c>
      <c r="E13" t="s">
        <v>23</v>
      </c>
      <c r="F13">
        <v>55</v>
      </c>
      <c r="G13">
        <v>25893</v>
      </c>
      <c r="H13" t="s">
        <v>18</v>
      </c>
      <c r="I13">
        <v>42</v>
      </c>
    </row>
    <row r="14" spans="1:9" x14ac:dyDescent="0.3">
      <c r="A14">
        <v>40</v>
      </c>
      <c r="B14" s="1">
        <v>45221</v>
      </c>
      <c r="C14" t="s">
        <v>27</v>
      </c>
      <c r="D14" t="s">
        <v>13</v>
      </c>
      <c r="E14" t="s">
        <v>10</v>
      </c>
      <c r="F14">
        <v>165</v>
      </c>
      <c r="G14">
        <v>679</v>
      </c>
      <c r="H14" t="s">
        <v>18</v>
      </c>
      <c r="I14">
        <v>52</v>
      </c>
    </row>
    <row r="15" spans="1:9" x14ac:dyDescent="0.3">
      <c r="A15">
        <v>47</v>
      </c>
      <c r="B15" s="1">
        <v>45228</v>
      </c>
      <c r="C15" t="s">
        <v>27</v>
      </c>
      <c r="D15" t="s">
        <v>19</v>
      </c>
      <c r="E15" t="s">
        <v>10</v>
      </c>
      <c r="F15">
        <v>288</v>
      </c>
      <c r="G15">
        <v>33284</v>
      </c>
      <c r="H15" t="s">
        <v>11</v>
      </c>
      <c r="I15">
        <v>57</v>
      </c>
    </row>
    <row r="16" spans="1:9" x14ac:dyDescent="0.3">
      <c r="A16">
        <v>36</v>
      </c>
      <c r="B16" s="1">
        <v>45230</v>
      </c>
      <c r="C16" t="s">
        <v>12</v>
      </c>
      <c r="D16" t="s">
        <v>20</v>
      </c>
      <c r="E16" t="s">
        <v>17</v>
      </c>
      <c r="F16">
        <v>460</v>
      </c>
      <c r="G16">
        <v>50274</v>
      </c>
      <c r="H16" t="s">
        <v>18</v>
      </c>
      <c r="I16">
        <v>26</v>
      </c>
    </row>
    <row r="17" spans="1:9" x14ac:dyDescent="0.3">
      <c r="A17">
        <v>115</v>
      </c>
      <c r="B17" s="1">
        <v>45232</v>
      </c>
      <c r="C17" t="s">
        <v>12</v>
      </c>
      <c r="D17" t="s">
        <v>20</v>
      </c>
      <c r="E17" t="s">
        <v>10</v>
      </c>
      <c r="F17">
        <v>541</v>
      </c>
      <c r="G17">
        <v>42432</v>
      </c>
      <c r="H17" t="s">
        <v>11</v>
      </c>
      <c r="I17">
        <v>26</v>
      </c>
    </row>
    <row r="18" spans="1:9" x14ac:dyDescent="0.3">
      <c r="A18">
        <v>70</v>
      </c>
      <c r="B18" s="1">
        <v>45232</v>
      </c>
      <c r="C18" t="s">
        <v>15</v>
      </c>
      <c r="D18" t="s">
        <v>24</v>
      </c>
      <c r="E18" t="s">
        <v>14</v>
      </c>
      <c r="F18">
        <v>335</v>
      </c>
      <c r="G18">
        <v>36984</v>
      </c>
      <c r="H18" t="s">
        <v>11</v>
      </c>
      <c r="I18">
        <v>42</v>
      </c>
    </row>
    <row r="19" spans="1:9" x14ac:dyDescent="0.3">
      <c r="A19">
        <v>114</v>
      </c>
      <c r="B19" s="1">
        <v>45233</v>
      </c>
      <c r="C19" t="s">
        <v>15</v>
      </c>
      <c r="D19" t="s">
        <v>19</v>
      </c>
      <c r="E19" t="s">
        <v>10</v>
      </c>
      <c r="F19">
        <v>126</v>
      </c>
      <c r="G19">
        <v>40446</v>
      </c>
      <c r="H19" t="s">
        <v>28</v>
      </c>
      <c r="I19">
        <v>57</v>
      </c>
    </row>
    <row r="20" spans="1:9" x14ac:dyDescent="0.3">
      <c r="A20">
        <v>50</v>
      </c>
      <c r="B20" s="1">
        <v>45234</v>
      </c>
      <c r="C20" t="s">
        <v>15</v>
      </c>
      <c r="D20" t="s">
        <v>9</v>
      </c>
      <c r="E20" t="s">
        <v>14</v>
      </c>
      <c r="F20">
        <v>177</v>
      </c>
      <c r="G20">
        <v>30600</v>
      </c>
      <c r="H20" t="s">
        <v>18</v>
      </c>
      <c r="I20">
        <v>25</v>
      </c>
    </row>
    <row r="21" spans="1:9" x14ac:dyDescent="0.3">
      <c r="A21">
        <v>25</v>
      </c>
      <c r="B21" s="1">
        <v>45235</v>
      </c>
      <c r="C21" t="s">
        <v>12</v>
      </c>
      <c r="D21" t="s">
        <v>20</v>
      </c>
      <c r="E21" t="s">
        <v>10</v>
      </c>
      <c r="F21">
        <v>439</v>
      </c>
      <c r="G21">
        <v>31392</v>
      </c>
      <c r="H21" t="s">
        <v>18</v>
      </c>
      <c r="I21">
        <v>26</v>
      </c>
    </row>
    <row r="22" spans="1:9" x14ac:dyDescent="0.3">
      <c r="A22">
        <v>116</v>
      </c>
      <c r="B22" s="1">
        <v>45240</v>
      </c>
      <c r="C22" t="s">
        <v>15</v>
      </c>
      <c r="D22" t="s">
        <v>21</v>
      </c>
      <c r="E22" t="s">
        <v>14</v>
      </c>
      <c r="F22">
        <v>666</v>
      </c>
      <c r="G22">
        <v>64635</v>
      </c>
      <c r="H22" t="s">
        <v>18</v>
      </c>
      <c r="I22">
        <v>28</v>
      </c>
    </row>
    <row r="23" spans="1:9" x14ac:dyDescent="0.3">
      <c r="A23">
        <v>104</v>
      </c>
      <c r="B23" s="1">
        <v>45243</v>
      </c>
      <c r="C23" t="s">
        <v>12</v>
      </c>
      <c r="D23" t="s">
        <v>24</v>
      </c>
      <c r="E23" t="s">
        <v>17</v>
      </c>
      <c r="F23">
        <v>359</v>
      </c>
      <c r="G23">
        <v>12753</v>
      </c>
      <c r="H23" t="s">
        <v>18</v>
      </c>
      <c r="I23">
        <v>42</v>
      </c>
    </row>
    <row r="24" spans="1:9" x14ac:dyDescent="0.3">
      <c r="A24">
        <v>67</v>
      </c>
      <c r="B24" s="1">
        <v>45249</v>
      </c>
      <c r="C24" t="s">
        <v>12</v>
      </c>
      <c r="D24" t="s">
        <v>20</v>
      </c>
      <c r="E24" t="s">
        <v>10</v>
      </c>
      <c r="F24">
        <v>511</v>
      </c>
      <c r="G24">
        <v>16698</v>
      </c>
      <c r="H24" t="s">
        <v>28</v>
      </c>
      <c r="I24">
        <v>26</v>
      </c>
    </row>
    <row r="25" spans="1:9" x14ac:dyDescent="0.3">
      <c r="A25">
        <v>34</v>
      </c>
      <c r="B25" s="1">
        <v>45251</v>
      </c>
      <c r="C25" t="s">
        <v>12</v>
      </c>
      <c r="D25" t="s">
        <v>22</v>
      </c>
      <c r="E25" t="s">
        <v>17</v>
      </c>
      <c r="F25">
        <v>333</v>
      </c>
      <c r="G25">
        <v>48000</v>
      </c>
      <c r="H25" t="s">
        <v>11</v>
      </c>
      <c r="I25">
        <v>28</v>
      </c>
    </row>
    <row r="26" spans="1:9" x14ac:dyDescent="0.3">
      <c r="A26">
        <v>43</v>
      </c>
      <c r="B26" s="1">
        <v>45252</v>
      </c>
      <c r="C26" t="s">
        <v>15</v>
      </c>
      <c r="D26" t="s">
        <v>24</v>
      </c>
      <c r="E26" t="s">
        <v>10</v>
      </c>
      <c r="F26">
        <v>354</v>
      </c>
      <c r="G26">
        <v>679</v>
      </c>
      <c r="H26" t="s">
        <v>18</v>
      </c>
      <c r="I26">
        <v>42</v>
      </c>
    </row>
    <row r="27" spans="1:9" x14ac:dyDescent="0.3">
      <c r="A27">
        <v>83</v>
      </c>
      <c r="B27" s="1">
        <v>45254</v>
      </c>
      <c r="C27" t="s">
        <v>12</v>
      </c>
      <c r="D27" t="s">
        <v>20</v>
      </c>
      <c r="E27" t="s">
        <v>17</v>
      </c>
      <c r="F27">
        <v>545</v>
      </c>
      <c r="G27">
        <v>65250</v>
      </c>
      <c r="H27" t="s">
        <v>11</v>
      </c>
      <c r="I27">
        <v>26</v>
      </c>
    </row>
    <row r="28" spans="1:9" x14ac:dyDescent="0.3">
      <c r="A28">
        <v>20</v>
      </c>
      <c r="B28" s="1">
        <v>45254</v>
      </c>
      <c r="C28" t="s">
        <v>12</v>
      </c>
      <c r="D28" t="s">
        <v>24</v>
      </c>
      <c r="E28" t="s">
        <v>23</v>
      </c>
      <c r="F28">
        <v>331</v>
      </c>
      <c r="G28">
        <v>27140</v>
      </c>
      <c r="H28" t="s">
        <v>18</v>
      </c>
      <c r="I28">
        <v>42</v>
      </c>
    </row>
    <row r="29" spans="1:9" x14ac:dyDescent="0.3">
      <c r="A29">
        <v>109</v>
      </c>
      <c r="B29" s="1">
        <v>45256</v>
      </c>
      <c r="C29" t="s">
        <v>27</v>
      </c>
      <c r="D29" t="s">
        <v>22</v>
      </c>
      <c r="E29" t="s">
        <v>10</v>
      </c>
      <c r="F29">
        <v>86</v>
      </c>
      <c r="G29">
        <v>25853</v>
      </c>
      <c r="H29" t="s">
        <v>11</v>
      </c>
      <c r="I29">
        <v>28</v>
      </c>
    </row>
    <row r="30" spans="1:9" x14ac:dyDescent="0.3">
      <c r="A30">
        <v>108</v>
      </c>
      <c r="B30" s="1">
        <v>45264</v>
      </c>
      <c r="C30" t="s">
        <v>12</v>
      </c>
      <c r="D30" t="s">
        <v>24</v>
      </c>
      <c r="E30" t="s">
        <v>10</v>
      </c>
      <c r="F30">
        <v>214</v>
      </c>
      <c r="G30">
        <v>31122</v>
      </c>
      <c r="H30" t="s">
        <v>18</v>
      </c>
      <c r="I30">
        <v>42</v>
      </c>
    </row>
    <row r="31" spans="1:9" x14ac:dyDescent="0.3">
      <c r="A31">
        <v>118</v>
      </c>
      <c r="B31" s="1">
        <v>45273</v>
      </c>
      <c r="C31" t="s">
        <v>12</v>
      </c>
      <c r="D31" t="s">
        <v>24</v>
      </c>
      <c r="E31" t="s">
        <v>10</v>
      </c>
      <c r="F31">
        <v>289</v>
      </c>
      <c r="G31">
        <v>24948</v>
      </c>
      <c r="H31" t="s">
        <v>18</v>
      </c>
      <c r="I31">
        <v>42</v>
      </c>
    </row>
    <row r="32" spans="1:9" x14ac:dyDescent="0.3">
      <c r="A32">
        <v>103</v>
      </c>
      <c r="B32" s="1">
        <v>45274</v>
      </c>
      <c r="C32" t="s">
        <v>27</v>
      </c>
      <c r="D32" t="s">
        <v>19</v>
      </c>
      <c r="E32" t="s">
        <v>10</v>
      </c>
      <c r="F32">
        <v>97</v>
      </c>
      <c r="G32">
        <v>679</v>
      </c>
      <c r="H32" t="s">
        <v>11</v>
      </c>
      <c r="I32">
        <v>57</v>
      </c>
    </row>
    <row r="33" spans="1:9" x14ac:dyDescent="0.3">
      <c r="A33">
        <v>93</v>
      </c>
      <c r="B33" s="1">
        <v>45277</v>
      </c>
      <c r="C33" t="s">
        <v>8</v>
      </c>
      <c r="D33" t="s">
        <v>22</v>
      </c>
      <c r="E33" t="s">
        <v>10</v>
      </c>
      <c r="F33">
        <v>366</v>
      </c>
      <c r="G33">
        <v>4131</v>
      </c>
      <c r="H33" t="s">
        <v>18</v>
      </c>
      <c r="I33">
        <v>28</v>
      </c>
    </row>
    <row r="34" spans="1:9" x14ac:dyDescent="0.3">
      <c r="A34">
        <v>98</v>
      </c>
      <c r="B34" s="1">
        <v>45282</v>
      </c>
      <c r="C34" t="s">
        <v>12</v>
      </c>
      <c r="D34" t="s">
        <v>19</v>
      </c>
      <c r="E34" t="s">
        <v>17</v>
      </c>
      <c r="F34">
        <v>222</v>
      </c>
      <c r="G34">
        <v>17500</v>
      </c>
      <c r="H34" t="s">
        <v>18</v>
      </c>
      <c r="I34">
        <v>57</v>
      </c>
    </row>
    <row r="35" spans="1:9" x14ac:dyDescent="0.3">
      <c r="A35">
        <v>61</v>
      </c>
      <c r="B35" s="1">
        <v>45286</v>
      </c>
      <c r="C35" t="s">
        <v>12</v>
      </c>
      <c r="D35" t="s">
        <v>13</v>
      </c>
      <c r="E35" t="s">
        <v>10</v>
      </c>
      <c r="F35">
        <v>151</v>
      </c>
      <c r="G35">
        <v>8475</v>
      </c>
      <c r="H35" t="s">
        <v>11</v>
      </c>
      <c r="I35">
        <v>52</v>
      </c>
    </row>
    <row r="36" spans="1:9" x14ac:dyDescent="0.3">
      <c r="A36">
        <v>100</v>
      </c>
      <c r="B36" s="1">
        <v>45286</v>
      </c>
      <c r="C36" t="s">
        <v>12</v>
      </c>
      <c r="D36" t="s">
        <v>13</v>
      </c>
      <c r="E36" t="s">
        <v>23</v>
      </c>
      <c r="F36">
        <v>307</v>
      </c>
      <c r="G36">
        <v>679</v>
      </c>
      <c r="H36" t="s">
        <v>11</v>
      </c>
      <c r="I36">
        <v>52</v>
      </c>
    </row>
    <row r="37" spans="1:9" x14ac:dyDescent="0.3">
      <c r="A37">
        <v>28</v>
      </c>
      <c r="B37" s="1">
        <v>45286</v>
      </c>
      <c r="C37" t="s">
        <v>12</v>
      </c>
      <c r="D37" t="s">
        <v>19</v>
      </c>
      <c r="E37" t="s">
        <v>10</v>
      </c>
      <c r="F37">
        <v>444</v>
      </c>
      <c r="G37">
        <v>7272</v>
      </c>
      <c r="H37" t="s">
        <v>18</v>
      </c>
      <c r="I37">
        <v>57</v>
      </c>
    </row>
    <row r="38" spans="1:9" x14ac:dyDescent="0.3">
      <c r="A38">
        <v>90</v>
      </c>
      <c r="B38" s="1">
        <v>45289</v>
      </c>
      <c r="C38" t="s">
        <v>12</v>
      </c>
      <c r="D38" t="s">
        <v>20</v>
      </c>
      <c r="E38" t="s">
        <v>14</v>
      </c>
      <c r="F38">
        <v>404</v>
      </c>
      <c r="G38">
        <v>13310</v>
      </c>
      <c r="H38" t="s">
        <v>11</v>
      </c>
      <c r="I38">
        <v>26</v>
      </c>
    </row>
    <row r="39" spans="1:9" x14ac:dyDescent="0.3">
      <c r="A39">
        <v>58</v>
      </c>
      <c r="B39" s="1">
        <v>45292</v>
      </c>
      <c r="C39" t="s">
        <v>8</v>
      </c>
      <c r="D39" t="s">
        <v>24</v>
      </c>
      <c r="E39" t="s">
        <v>10</v>
      </c>
      <c r="F39">
        <v>160</v>
      </c>
      <c r="G39">
        <v>59248</v>
      </c>
      <c r="H39" t="s">
        <v>11</v>
      </c>
      <c r="I39">
        <v>42</v>
      </c>
    </row>
    <row r="40" spans="1:9" x14ac:dyDescent="0.3">
      <c r="A40">
        <v>97</v>
      </c>
      <c r="B40" s="1">
        <v>45293</v>
      </c>
      <c r="C40" t="s">
        <v>12</v>
      </c>
      <c r="D40" t="s">
        <v>9</v>
      </c>
      <c r="E40" t="s">
        <v>23</v>
      </c>
      <c r="F40">
        <v>368</v>
      </c>
      <c r="G40">
        <v>25254</v>
      </c>
      <c r="H40" t="s">
        <v>11</v>
      </c>
      <c r="I40">
        <v>25</v>
      </c>
    </row>
    <row r="41" spans="1:9" x14ac:dyDescent="0.3">
      <c r="A41">
        <v>22</v>
      </c>
      <c r="B41" s="1">
        <v>45294</v>
      </c>
      <c r="C41" t="s">
        <v>12</v>
      </c>
      <c r="D41" t="s">
        <v>26</v>
      </c>
      <c r="E41" t="s">
        <v>17</v>
      </c>
      <c r="F41">
        <v>180</v>
      </c>
      <c r="G41">
        <v>33684</v>
      </c>
      <c r="H41" t="s">
        <v>11</v>
      </c>
      <c r="I41">
        <v>49</v>
      </c>
    </row>
    <row r="42" spans="1:9" x14ac:dyDescent="0.3">
      <c r="A42">
        <v>57</v>
      </c>
      <c r="B42" s="1">
        <v>45296</v>
      </c>
      <c r="C42" t="s">
        <v>12</v>
      </c>
      <c r="D42" t="s">
        <v>9</v>
      </c>
      <c r="E42" t="s">
        <v>14</v>
      </c>
      <c r="F42">
        <v>255</v>
      </c>
      <c r="G42">
        <v>57706</v>
      </c>
      <c r="H42" t="s">
        <v>11</v>
      </c>
      <c r="I42">
        <v>25</v>
      </c>
    </row>
    <row r="43" spans="1:9" x14ac:dyDescent="0.3">
      <c r="A43">
        <v>24</v>
      </c>
      <c r="B43" s="1">
        <v>45296</v>
      </c>
      <c r="C43" t="s">
        <v>8</v>
      </c>
      <c r="D43" t="s">
        <v>19</v>
      </c>
      <c r="E43" t="s">
        <v>17</v>
      </c>
      <c r="F43">
        <v>458</v>
      </c>
      <c r="G43">
        <v>42873</v>
      </c>
      <c r="H43" t="s">
        <v>11</v>
      </c>
      <c r="I43">
        <v>57</v>
      </c>
    </row>
    <row r="44" spans="1:9" x14ac:dyDescent="0.3">
      <c r="A44">
        <v>8</v>
      </c>
      <c r="B44" s="1">
        <v>45299</v>
      </c>
      <c r="C44" t="s">
        <v>12</v>
      </c>
      <c r="D44" t="s">
        <v>22</v>
      </c>
      <c r="E44" t="s">
        <v>23</v>
      </c>
      <c r="F44">
        <v>447</v>
      </c>
      <c r="G44">
        <v>52269</v>
      </c>
      <c r="H44" t="s">
        <v>18</v>
      </c>
      <c r="I44">
        <v>28</v>
      </c>
    </row>
    <row r="45" spans="1:9" x14ac:dyDescent="0.3">
      <c r="A45">
        <v>21</v>
      </c>
      <c r="B45" s="1">
        <v>45304</v>
      </c>
      <c r="C45" t="s">
        <v>8</v>
      </c>
      <c r="D45" t="s">
        <v>24</v>
      </c>
      <c r="E45" t="s">
        <v>17</v>
      </c>
      <c r="F45">
        <v>250</v>
      </c>
      <c r="G45">
        <v>11385</v>
      </c>
      <c r="H45" t="s">
        <v>18</v>
      </c>
      <c r="I45">
        <v>42</v>
      </c>
    </row>
    <row r="46" spans="1:9" x14ac:dyDescent="0.3">
      <c r="A46">
        <v>88</v>
      </c>
      <c r="B46" s="1">
        <v>45305</v>
      </c>
      <c r="C46" t="s">
        <v>15</v>
      </c>
      <c r="D46" t="s">
        <v>21</v>
      </c>
      <c r="E46" t="s">
        <v>14</v>
      </c>
      <c r="F46">
        <v>264</v>
      </c>
      <c r="G46">
        <v>75332</v>
      </c>
      <c r="H46" t="s">
        <v>11</v>
      </c>
      <c r="I46">
        <v>28</v>
      </c>
    </row>
    <row r="47" spans="1:9" x14ac:dyDescent="0.3">
      <c r="A47">
        <v>119</v>
      </c>
      <c r="B47" s="1">
        <v>45305</v>
      </c>
      <c r="C47" t="s">
        <v>12</v>
      </c>
      <c r="D47" t="s">
        <v>19</v>
      </c>
      <c r="E47" t="s">
        <v>23</v>
      </c>
      <c r="F47">
        <v>199</v>
      </c>
      <c r="G47">
        <v>56118</v>
      </c>
      <c r="H47" t="s">
        <v>28</v>
      </c>
      <c r="I47">
        <v>57</v>
      </c>
    </row>
    <row r="48" spans="1:9" x14ac:dyDescent="0.3">
      <c r="A48">
        <v>86</v>
      </c>
      <c r="B48" s="1">
        <v>45307</v>
      </c>
      <c r="C48" t="s">
        <v>8</v>
      </c>
      <c r="D48" t="s">
        <v>21</v>
      </c>
      <c r="E48" t="s">
        <v>10</v>
      </c>
      <c r="F48">
        <v>60</v>
      </c>
      <c r="G48">
        <v>5822</v>
      </c>
      <c r="H48" t="s">
        <v>18</v>
      </c>
      <c r="I48">
        <v>28</v>
      </c>
    </row>
    <row r="49" spans="1:9" x14ac:dyDescent="0.3">
      <c r="A49">
        <v>85</v>
      </c>
      <c r="B49" s="1">
        <v>45309</v>
      </c>
      <c r="C49" t="s">
        <v>12</v>
      </c>
      <c r="D49" t="s">
        <v>24</v>
      </c>
      <c r="E49" t="s">
        <v>23</v>
      </c>
      <c r="F49">
        <v>192</v>
      </c>
      <c r="G49">
        <v>18648</v>
      </c>
      <c r="H49" t="s">
        <v>11</v>
      </c>
      <c r="I49">
        <v>42</v>
      </c>
    </row>
    <row r="50" spans="1:9" x14ac:dyDescent="0.3">
      <c r="A50">
        <v>16</v>
      </c>
      <c r="B50" s="1">
        <v>45318</v>
      </c>
      <c r="C50" t="s">
        <v>15</v>
      </c>
      <c r="D50" t="s">
        <v>20</v>
      </c>
      <c r="E50" t="s">
        <v>14</v>
      </c>
      <c r="F50">
        <v>193</v>
      </c>
      <c r="G50">
        <v>18796</v>
      </c>
      <c r="H50" t="s">
        <v>18</v>
      </c>
      <c r="I50">
        <v>26</v>
      </c>
    </row>
    <row r="51" spans="1:9" x14ac:dyDescent="0.3">
      <c r="A51">
        <v>92</v>
      </c>
      <c r="B51" s="1">
        <v>45329</v>
      </c>
      <c r="C51" t="s">
        <v>8</v>
      </c>
      <c r="D51" t="s">
        <v>9</v>
      </c>
      <c r="E51" t="s">
        <v>17</v>
      </c>
      <c r="F51">
        <v>214</v>
      </c>
      <c r="G51">
        <v>4984</v>
      </c>
      <c r="H51" t="s">
        <v>18</v>
      </c>
      <c r="I51">
        <v>25</v>
      </c>
    </row>
    <row r="52" spans="1:9" x14ac:dyDescent="0.3">
      <c r="A52">
        <v>87</v>
      </c>
      <c r="B52" s="1">
        <v>45330</v>
      </c>
      <c r="C52" t="s">
        <v>12</v>
      </c>
      <c r="D52" t="s">
        <v>24</v>
      </c>
      <c r="E52" t="s">
        <v>14</v>
      </c>
      <c r="F52">
        <v>209</v>
      </c>
      <c r="G52">
        <v>51221</v>
      </c>
      <c r="H52" t="s">
        <v>11</v>
      </c>
      <c r="I52">
        <v>42</v>
      </c>
    </row>
    <row r="53" spans="1:9" x14ac:dyDescent="0.3">
      <c r="A53">
        <v>11</v>
      </c>
      <c r="B53" s="1">
        <v>45335</v>
      </c>
      <c r="C53" t="s">
        <v>12</v>
      </c>
      <c r="D53" t="s">
        <v>25</v>
      </c>
      <c r="E53" t="s">
        <v>17</v>
      </c>
      <c r="F53">
        <v>494</v>
      </c>
      <c r="G53">
        <v>46767</v>
      </c>
      <c r="H53" t="s">
        <v>11</v>
      </c>
      <c r="I53">
        <v>25</v>
      </c>
    </row>
    <row r="54" spans="1:9" x14ac:dyDescent="0.3">
      <c r="A54">
        <v>81</v>
      </c>
      <c r="B54" s="1">
        <v>45335</v>
      </c>
      <c r="C54" t="s">
        <v>27</v>
      </c>
      <c r="D54" t="s">
        <v>24</v>
      </c>
      <c r="E54" t="s">
        <v>10</v>
      </c>
      <c r="F54">
        <v>32</v>
      </c>
      <c r="G54">
        <v>3132</v>
      </c>
      <c r="H54" t="s">
        <v>18</v>
      </c>
      <c r="I54">
        <v>42</v>
      </c>
    </row>
    <row r="55" spans="1:9" x14ac:dyDescent="0.3">
      <c r="A55">
        <v>29</v>
      </c>
      <c r="B55" s="1">
        <v>45339</v>
      </c>
      <c r="C55" t="s">
        <v>12</v>
      </c>
      <c r="D55" t="s">
        <v>24</v>
      </c>
      <c r="E55" t="s">
        <v>23</v>
      </c>
      <c r="F55">
        <v>499</v>
      </c>
      <c r="G55">
        <v>48316</v>
      </c>
      <c r="H55" t="s">
        <v>11</v>
      </c>
      <c r="I55">
        <v>42</v>
      </c>
    </row>
    <row r="56" spans="1:9" x14ac:dyDescent="0.3">
      <c r="A56">
        <v>96</v>
      </c>
      <c r="B56" s="1">
        <v>45347</v>
      </c>
      <c r="C56" t="s">
        <v>15</v>
      </c>
      <c r="D56" t="s">
        <v>21</v>
      </c>
      <c r="E56" t="s">
        <v>10</v>
      </c>
      <c r="F56">
        <v>128</v>
      </c>
      <c r="G56">
        <v>35088</v>
      </c>
      <c r="H56" t="s">
        <v>18</v>
      </c>
      <c r="I56">
        <v>28</v>
      </c>
    </row>
    <row r="57" spans="1:9" x14ac:dyDescent="0.3">
      <c r="A57">
        <v>89</v>
      </c>
      <c r="B57" s="1">
        <v>45348</v>
      </c>
      <c r="C57" t="s">
        <v>12</v>
      </c>
      <c r="D57" t="s">
        <v>20</v>
      </c>
      <c r="E57" t="s">
        <v>23</v>
      </c>
      <c r="F57">
        <v>97</v>
      </c>
      <c r="G57">
        <v>679</v>
      </c>
      <c r="H57" t="s">
        <v>11</v>
      </c>
      <c r="I57">
        <v>26</v>
      </c>
    </row>
    <row r="58" spans="1:9" x14ac:dyDescent="0.3">
      <c r="A58">
        <v>68</v>
      </c>
      <c r="B58" s="1">
        <v>45350</v>
      </c>
      <c r="C58" t="s">
        <v>8</v>
      </c>
      <c r="D58" t="s">
        <v>26</v>
      </c>
      <c r="E58" t="s">
        <v>10</v>
      </c>
      <c r="F58">
        <v>308</v>
      </c>
      <c r="G58">
        <v>27956</v>
      </c>
      <c r="H58" t="s">
        <v>28</v>
      </c>
      <c r="I58">
        <v>49</v>
      </c>
    </row>
    <row r="59" spans="1:9" x14ac:dyDescent="0.3">
      <c r="A59">
        <v>71</v>
      </c>
      <c r="B59" s="1">
        <v>45350</v>
      </c>
      <c r="C59" t="s">
        <v>15</v>
      </c>
      <c r="D59" t="s">
        <v>26</v>
      </c>
      <c r="E59" t="s">
        <v>14</v>
      </c>
      <c r="F59">
        <v>95</v>
      </c>
      <c r="G59">
        <v>46800</v>
      </c>
      <c r="H59" t="s">
        <v>18</v>
      </c>
      <c r="I59">
        <v>49</v>
      </c>
    </row>
    <row r="60" spans="1:9" x14ac:dyDescent="0.3">
      <c r="A60">
        <v>6</v>
      </c>
      <c r="B60" s="1">
        <v>45350</v>
      </c>
      <c r="C60" t="s">
        <v>12</v>
      </c>
      <c r="D60" t="s">
        <v>20</v>
      </c>
      <c r="E60" t="s">
        <v>17</v>
      </c>
      <c r="F60">
        <v>401</v>
      </c>
      <c r="G60">
        <v>19691</v>
      </c>
      <c r="H60" t="s">
        <v>18</v>
      </c>
      <c r="I60">
        <v>26</v>
      </c>
    </row>
    <row r="61" spans="1:9" x14ac:dyDescent="0.3">
      <c r="A61">
        <v>49</v>
      </c>
      <c r="B61" s="1">
        <v>45350</v>
      </c>
      <c r="C61" t="s">
        <v>8</v>
      </c>
      <c r="D61" t="s">
        <v>20</v>
      </c>
      <c r="E61" t="s">
        <v>17</v>
      </c>
      <c r="F61">
        <v>74</v>
      </c>
      <c r="G61">
        <v>36708</v>
      </c>
      <c r="H61" t="s">
        <v>18</v>
      </c>
      <c r="I61">
        <v>26</v>
      </c>
    </row>
    <row r="62" spans="1:9" x14ac:dyDescent="0.3">
      <c r="A62">
        <v>62</v>
      </c>
      <c r="B62" s="1">
        <v>45350</v>
      </c>
      <c r="C62" t="s">
        <v>12</v>
      </c>
      <c r="D62" t="s">
        <v>19</v>
      </c>
      <c r="E62" t="s">
        <v>17</v>
      </c>
      <c r="F62">
        <v>535</v>
      </c>
      <c r="G62">
        <v>44330</v>
      </c>
      <c r="H62" t="s">
        <v>18</v>
      </c>
      <c r="I62">
        <v>57</v>
      </c>
    </row>
    <row r="63" spans="1:9" x14ac:dyDescent="0.3">
      <c r="A63">
        <v>80</v>
      </c>
      <c r="B63" s="1">
        <v>45350</v>
      </c>
      <c r="C63" t="s">
        <v>8</v>
      </c>
      <c r="D63" t="s">
        <v>19</v>
      </c>
      <c r="E63" t="s">
        <v>17</v>
      </c>
      <c r="F63">
        <v>380</v>
      </c>
      <c r="G63">
        <v>44525</v>
      </c>
      <c r="H63" t="s">
        <v>28</v>
      </c>
      <c r="I63">
        <v>57</v>
      </c>
    </row>
    <row r="64" spans="1:9" x14ac:dyDescent="0.3">
      <c r="A64">
        <v>52</v>
      </c>
      <c r="B64" s="1">
        <v>45350</v>
      </c>
      <c r="C64" t="s">
        <v>8</v>
      </c>
      <c r="D64" t="s">
        <v>24</v>
      </c>
      <c r="E64" t="s">
        <v>17</v>
      </c>
      <c r="F64">
        <v>343</v>
      </c>
      <c r="G64">
        <v>33344</v>
      </c>
      <c r="H64" t="s">
        <v>18</v>
      </c>
      <c r="I64">
        <v>42</v>
      </c>
    </row>
    <row r="65" spans="1:9" x14ac:dyDescent="0.3">
      <c r="A65">
        <v>105</v>
      </c>
      <c r="B65" s="1">
        <v>45350</v>
      </c>
      <c r="C65" t="s">
        <v>15</v>
      </c>
      <c r="D65" t="s">
        <v>24</v>
      </c>
      <c r="E65" t="s">
        <v>17</v>
      </c>
      <c r="F65">
        <v>318</v>
      </c>
      <c r="G65">
        <v>16864</v>
      </c>
      <c r="H65" t="s">
        <v>18</v>
      </c>
      <c r="I65">
        <v>42</v>
      </c>
    </row>
    <row r="66" spans="1:9" x14ac:dyDescent="0.3">
      <c r="A66">
        <v>72</v>
      </c>
      <c r="B66" s="1">
        <v>45356</v>
      </c>
      <c r="C66" t="s">
        <v>15</v>
      </c>
      <c r="D66" t="s">
        <v>24</v>
      </c>
      <c r="E66" t="s">
        <v>14</v>
      </c>
      <c r="F66">
        <v>218</v>
      </c>
      <c r="G66">
        <v>7125</v>
      </c>
      <c r="H66" t="s">
        <v>18</v>
      </c>
      <c r="I66">
        <v>42</v>
      </c>
    </row>
    <row r="67" spans="1:9" x14ac:dyDescent="0.3">
      <c r="A67">
        <v>75</v>
      </c>
      <c r="B67" s="1">
        <v>45357</v>
      </c>
      <c r="C67" t="s">
        <v>12</v>
      </c>
      <c r="D67" t="s">
        <v>22</v>
      </c>
      <c r="E67" t="s">
        <v>10</v>
      </c>
      <c r="F67">
        <v>128</v>
      </c>
      <c r="G67">
        <v>679</v>
      </c>
      <c r="H67" t="s">
        <v>18</v>
      </c>
      <c r="I67">
        <v>28</v>
      </c>
    </row>
    <row r="68" spans="1:9" x14ac:dyDescent="0.3">
      <c r="A68">
        <v>120</v>
      </c>
      <c r="B68" s="1">
        <v>45361</v>
      </c>
      <c r="C68" t="s">
        <v>27</v>
      </c>
      <c r="D68" t="s">
        <v>16</v>
      </c>
      <c r="E68" t="s">
        <v>10</v>
      </c>
      <c r="F68">
        <v>497</v>
      </c>
      <c r="G68">
        <v>46548</v>
      </c>
      <c r="H68" t="s">
        <v>11</v>
      </c>
      <c r="I68">
        <v>36</v>
      </c>
    </row>
    <row r="69" spans="1:9" x14ac:dyDescent="0.3">
      <c r="A69">
        <v>51</v>
      </c>
      <c r="B69" s="1">
        <v>45364</v>
      </c>
      <c r="C69" t="s">
        <v>8</v>
      </c>
      <c r="D69" t="s">
        <v>19</v>
      </c>
      <c r="E69" t="s">
        <v>17</v>
      </c>
      <c r="F69">
        <v>358</v>
      </c>
      <c r="G69">
        <v>13568</v>
      </c>
      <c r="H69" t="s">
        <v>11</v>
      </c>
      <c r="I69">
        <v>57</v>
      </c>
    </row>
    <row r="70" spans="1:9" x14ac:dyDescent="0.3">
      <c r="A70">
        <v>84</v>
      </c>
      <c r="B70" s="1">
        <v>45369</v>
      </c>
      <c r="C70" t="s">
        <v>12</v>
      </c>
      <c r="D70" t="s">
        <v>21</v>
      </c>
      <c r="E70" t="s">
        <v>23</v>
      </c>
      <c r="F70">
        <v>84</v>
      </c>
      <c r="G70">
        <v>10688</v>
      </c>
      <c r="H70" t="s">
        <v>11</v>
      </c>
      <c r="I70">
        <v>28</v>
      </c>
    </row>
    <row r="71" spans="1:9" x14ac:dyDescent="0.3">
      <c r="A71">
        <v>113</v>
      </c>
      <c r="B71" s="1">
        <v>45370</v>
      </c>
      <c r="C71" t="s">
        <v>27</v>
      </c>
      <c r="D71" t="s">
        <v>20</v>
      </c>
      <c r="E71" t="s">
        <v>10</v>
      </c>
      <c r="F71">
        <v>81</v>
      </c>
      <c r="G71">
        <v>31414</v>
      </c>
      <c r="H71" t="s">
        <v>11</v>
      </c>
      <c r="I71">
        <v>26</v>
      </c>
    </row>
    <row r="72" spans="1:9" x14ac:dyDescent="0.3">
      <c r="A72">
        <v>32</v>
      </c>
      <c r="B72" s="1">
        <v>45371</v>
      </c>
      <c r="C72" t="s">
        <v>27</v>
      </c>
      <c r="D72" t="s">
        <v>24</v>
      </c>
      <c r="E72" t="s">
        <v>10</v>
      </c>
      <c r="F72">
        <v>389</v>
      </c>
      <c r="G72">
        <v>37744</v>
      </c>
      <c r="H72" t="s">
        <v>18</v>
      </c>
      <c r="I72">
        <v>42</v>
      </c>
    </row>
    <row r="73" spans="1:9" x14ac:dyDescent="0.3">
      <c r="A73">
        <v>60</v>
      </c>
      <c r="B73" s="1">
        <v>45372</v>
      </c>
      <c r="C73" t="s">
        <v>15</v>
      </c>
      <c r="D73" t="s">
        <v>9</v>
      </c>
      <c r="E73" t="s">
        <v>17</v>
      </c>
      <c r="F73">
        <v>178</v>
      </c>
      <c r="G73">
        <v>679</v>
      </c>
      <c r="H73" t="s">
        <v>18</v>
      </c>
      <c r="I73">
        <v>25</v>
      </c>
    </row>
    <row r="74" spans="1:9" x14ac:dyDescent="0.3">
      <c r="A74">
        <v>117</v>
      </c>
      <c r="B74" s="1">
        <v>45374</v>
      </c>
      <c r="C74" t="s">
        <v>15</v>
      </c>
      <c r="D74" t="s">
        <v>20</v>
      </c>
      <c r="E74" t="s">
        <v>23</v>
      </c>
      <c r="F74">
        <v>527</v>
      </c>
      <c r="G74">
        <v>51168</v>
      </c>
      <c r="H74" t="s">
        <v>18</v>
      </c>
      <c r="I74">
        <v>26</v>
      </c>
    </row>
    <row r="75" spans="1:9" x14ac:dyDescent="0.3">
      <c r="A75">
        <v>37</v>
      </c>
      <c r="B75" s="1">
        <v>45377</v>
      </c>
      <c r="C75" t="s">
        <v>15</v>
      </c>
      <c r="D75" t="s">
        <v>26</v>
      </c>
      <c r="E75" t="s">
        <v>10</v>
      </c>
      <c r="F75">
        <v>145</v>
      </c>
      <c r="G75">
        <v>43615</v>
      </c>
      <c r="H75" t="s">
        <v>18</v>
      </c>
      <c r="I75">
        <v>49</v>
      </c>
    </row>
    <row r="76" spans="1:9" x14ac:dyDescent="0.3">
      <c r="A76">
        <v>65</v>
      </c>
      <c r="B76" s="1">
        <v>45378</v>
      </c>
      <c r="C76" t="s">
        <v>27</v>
      </c>
      <c r="D76" t="s">
        <v>24</v>
      </c>
      <c r="E76" t="s">
        <v>10</v>
      </c>
      <c r="F76">
        <v>495</v>
      </c>
      <c r="G76">
        <v>679</v>
      </c>
      <c r="H76" t="s">
        <v>18</v>
      </c>
      <c r="I76">
        <v>42</v>
      </c>
    </row>
    <row r="77" spans="1:9" x14ac:dyDescent="0.3">
      <c r="A77">
        <v>1</v>
      </c>
      <c r="B77" s="1">
        <v>45380</v>
      </c>
      <c r="C77" t="s">
        <v>8</v>
      </c>
      <c r="D77" t="s">
        <v>9</v>
      </c>
      <c r="E77" t="s">
        <v>10</v>
      </c>
      <c r="F77">
        <v>412</v>
      </c>
      <c r="G77">
        <v>22288</v>
      </c>
      <c r="H77" t="s">
        <v>11</v>
      </c>
      <c r="I77">
        <v>25</v>
      </c>
    </row>
    <row r="78" spans="1:9" x14ac:dyDescent="0.3">
      <c r="A78">
        <v>18</v>
      </c>
      <c r="B78" s="1">
        <v>45381</v>
      </c>
      <c r="C78" t="s">
        <v>12</v>
      </c>
      <c r="D78" t="s">
        <v>26</v>
      </c>
      <c r="E78" t="s">
        <v>10</v>
      </c>
      <c r="F78">
        <v>363</v>
      </c>
      <c r="G78">
        <v>38232</v>
      </c>
      <c r="H78" t="s">
        <v>11</v>
      </c>
      <c r="I78">
        <v>49</v>
      </c>
    </row>
    <row r="79" spans="1:9" x14ac:dyDescent="0.3">
      <c r="A79">
        <v>110</v>
      </c>
      <c r="B79" s="1">
        <v>45383</v>
      </c>
      <c r="C79" t="s">
        <v>12</v>
      </c>
      <c r="D79" t="s">
        <v>13</v>
      </c>
      <c r="E79" t="s">
        <v>17</v>
      </c>
      <c r="F79">
        <v>155</v>
      </c>
      <c r="G79">
        <v>11092</v>
      </c>
      <c r="H79" t="s">
        <v>11</v>
      </c>
      <c r="I79">
        <v>52</v>
      </c>
    </row>
    <row r="80" spans="1:9" x14ac:dyDescent="0.3">
      <c r="A80">
        <v>66</v>
      </c>
      <c r="B80" s="1">
        <v>45390</v>
      </c>
      <c r="C80" t="s">
        <v>12</v>
      </c>
      <c r="D80" t="s">
        <v>21</v>
      </c>
      <c r="E80" t="s">
        <v>23</v>
      </c>
      <c r="F80">
        <v>190</v>
      </c>
      <c r="G80">
        <v>28050</v>
      </c>
      <c r="H80" t="s">
        <v>11</v>
      </c>
      <c r="I80">
        <v>28</v>
      </c>
    </row>
    <row r="81" spans="1:9" x14ac:dyDescent="0.3">
      <c r="A81">
        <v>106</v>
      </c>
      <c r="B81" s="1">
        <v>45392</v>
      </c>
      <c r="C81" t="s">
        <v>8</v>
      </c>
      <c r="D81" t="s">
        <v>24</v>
      </c>
      <c r="E81" t="s">
        <v>10</v>
      </c>
      <c r="F81">
        <v>51</v>
      </c>
      <c r="G81">
        <v>56888</v>
      </c>
      <c r="H81" t="s">
        <v>11</v>
      </c>
      <c r="I81">
        <v>42</v>
      </c>
    </row>
    <row r="82" spans="1:9" x14ac:dyDescent="0.3">
      <c r="A82">
        <v>15</v>
      </c>
      <c r="B82" s="1">
        <v>45398</v>
      </c>
      <c r="C82" t="s">
        <v>15</v>
      </c>
      <c r="D82" t="s">
        <v>24</v>
      </c>
      <c r="E82" t="s">
        <v>10</v>
      </c>
      <c r="F82">
        <v>383</v>
      </c>
      <c r="G82">
        <v>39008</v>
      </c>
      <c r="H82" t="s">
        <v>28</v>
      </c>
      <c r="I82">
        <v>42</v>
      </c>
    </row>
    <row r="83" spans="1:9" x14ac:dyDescent="0.3">
      <c r="A83">
        <v>41</v>
      </c>
      <c r="B83" s="1">
        <v>45407</v>
      </c>
      <c r="C83" t="s">
        <v>12</v>
      </c>
      <c r="D83" t="s">
        <v>24</v>
      </c>
      <c r="E83" t="s">
        <v>14</v>
      </c>
      <c r="F83">
        <v>51</v>
      </c>
      <c r="G83">
        <v>35280</v>
      </c>
      <c r="H83" t="s">
        <v>18</v>
      </c>
      <c r="I83">
        <v>42</v>
      </c>
    </row>
    <row r="84" spans="1:9" x14ac:dyDescent="0.3">
      <c r="A84">
        <v>12</v>
      </c>
      <c r="B84" s="1">
        <v>45410</v>
      </c>
      <c r="C84" t="s">
        <v>12</v>
      </c>
      <c r="D84" t="s">
        <v>25</v>
      </c>
      <c r="E84" t="s">
        <v>10</v>
      </c>
      <c r="F84">
        <v>462</v>
      </c>
      <c r="G84">
        <v>26145</v>
      </c>
      <c r="H84" t="s">
        <v>28</v>
      </c>
      <c r="I84">
        <v>25</v>
      </c>
    </row>
    <row r="85" spans="1:9" x14ac:dyDescent="0.3">
      <c r="A85">
        <v>107</v>
      </c>
      <c r="B85" s="1">
        <v>45412</v>
      </c>
      <c r="C85" t="s">
        <v>27</v>
      </c>
      <c r="D85" t="s">
        <v>21</v>
      </c>
      <c r="E85" t="s">
        <v>17</v>
      </c>
      <c r="F85">
        <v>236</v>
      </c>
      <c r="G85">
        <v>679</v>
      </c>
      <c r="H85" t="s">
        <v>28</v>
      </c>
      <c r="I85">
        <v>28</v>
      </c>
    </row>
    <row r="86" spans="1:9" x14ac:dyDescent="0.3">
      <c r="A86">
        <v>2</v>
      </c>
      <c r="B86" s="1">
        <v>45420</v>
      </c>
      <c r="C86" t="s">
        <v>12</v>
      </c>
      <c r="D86" t="s">
        <v>13</v>
      </c>
      <c r="E86" t="s">
        <v>14</v>
      </c>
      <c r="F86">
        <v>430</v>
      </c>
      <c r="G86">
        <v>66500</v>
      </c>
      <c r="H86" t="s">
        <v>11</v>
      </c>
      <c r="I86">
        <v>52</v>
      </c>
    </row>
    <row r="87" spans="1:9" x14ac:dyDescent="0.3">
      <c r="A87">
        <v>33</v>
      </c>
      <c r="B87" s="1">
        <v>45422</v>
      </c>
      <c r="C87" t="s">
        <v>27</v>
      </c>
      <c r="D87" t="s">
        <v>25</v>
      </c>
      <c r="E87" t="s">
        <v>23</v>
      </c>
      <c r="F87">
        <v>511</v>
      </c>
      <c r="G87">
        <v>679</v>
      </c>
      <c r="H87" t="s">
        <v>11</v>
      </c>
      <c r="I87">
        <v>25</v>
      </c>
    </row>
    <row r="88" spans="1:9" x14ac:dyDescent="0.3">
      <c r="A88">
        <v>42</v>
      </c>
      <c r="B88" s="1">
        <v>45424</v>
      </c>
      <c r="C88" t="s">
        <v>15</v>
      </c>
      <c r="D88" t="s">
        <v>24</v>
      </c>
      <c r="E88" t="s">
        <v>10</v>
      </c>
      <c r="F88">
        <v>382</v>
      </c>
      <c r="G88">
        <v>37490</v>
      </c>
      <c r="H88" t="s">
        <v>18</v>
      </c>
      <c r="I88">
        <v>42</v>
      </c>
    </row>
    <row r="89" spans="1:9" x14ac:dyDescent="0.3">
      <c r="A89">
        <v>94</v>
      </c>
      <c r="B89" s="1">
        <v>45427</v>
      </c>
      <c r="C89" t="s">
        <v>15</v>
      </c>
      <c r="D89" t="s">
        <v>25</v>
      </c>
      <c r="E89" t="s">
        <v>10</v>
      </c>
      <c r="F89">
        <v>173</v>
      </c>
      <c r="G89">
        <v>24549</v>
      </c>
      <c r="H89" t="s">
        <v>18</v>
      </c>
      <c r="I89">
        <v>25</v>
      </c>
    </row>
    <row r="90" spans="1:9" x14ac:dyDescent="0.3">
      <c r="A90">
        <v>64</v>
      </c>
      <c r="B90" s="1">
        <v>45432</v>
      </c>
      <c r="C90" t="s">
        <v>12</v>
      </c>
      <c r="D90" t="s">
        <v>9</v>
      </c>
      <c r="E90" t="s">
        <v>23</v>
      </c>
      <c r="F90">
        <v>188</v>
      </c>
      <c r="G90">
        <v>679</v>
      </c>
      <c r="H90" t="s">
        <v>11</v>
      </c>
      <c r="I90">
        <v>25</v>
      </c>
    </row>
    <row r="91" spans="1:9" x14ac:dyDescent="0.3">
      <c r="A91">
        <v>91</v>
      </c>
      <c r="B91" s="1">
        <v>45444</v>
      </c>
      <c r="C91" t="s">
        <v>15</v>
      </c>
      <c r="D91" t="s">
        <v>24</v>
      </c>
      <c r="E91" t="s">
        <v>17</v>
      </c>
      <c r="F91">
        <v>386</v>
      </c>
      <c r="G91">
        <v>47952</v>
      </c>
      <c r="H91" t="s">
        <v>18</v>
      </c>
      <c r="I91">
        <v>42</v>
      </c>
    </row>
    <row r="92" spans="1:9" x14ac:dyDescent="0.3">
      <c r="A92">
        <v>5</v>
      </c>
      <c r="B92" s="1">
        <v>45449</v>
      </c>
      <c r="C92" t="s">
        <v>8</v>
      </c>
      <c r="D92" t="s">
        <v>20</v>
      </c>
      <c r="E92" t="s">
        <v>17</v>
      </c>
      <c r="F92">
        <v>178</v>
      </c>
      <c r="G92">
        <v>41349</v>
      </c>
      <c r="H92" t="s">
        <v>18</v>
      </c>
      <c r="I92">
        <v>26</v>
      </c>
    </row>
    <row r="93" spans="1:9" x14ac:dyDescent="0.3">
      <c r="A93">
        <v>44</v>
      </c>
      <c r="B93" s="1">
        <v>45451</v>
      </c>
      <c r="C93" t="s">
        <v>27</v>
      </c>
      <c r="D93" t="s">
        <v>13</v>
      </c>
      <c r="E93" t="s">
        <v>14</v>
      </c>
      <c r="F93">
        <v>368</v>
      </c>
      <c r="G93">
        <v>46068</v>
      </c>
      <c r="H93" t="s">
        <v>11</v>
      </c>
      <c r="I93">
        <v>52</v>
      </c>
    </row>
    <row r="94" spans="1:9" x14ac:dyDescent="0.3">
      <c r="A94">
        <v>59</v>
      </c>
      <c r="B94" s="1">
        <v>45453</v>
      </c>
      <c r="C94" t="s">
        <v>15</v>
      </c>
      <c r="D94" t="s">
        <v>9</v>
      </c>
      <c r="E94" t="s">
        <v>23</v>
      </c>
      <c r="F94">
        <v>322</v>
      </c>
      <c r="G94">
        <v>29440</v>
      </c>
      <c r="H94" t="s">
        <v>18</v>
      </c>
      <c r="I94">
        <v>25</v>
      </c>
    </row>
    <row r="95" spans="1:9" x14ac:dyDescent="0.3">
      <c r="A95">
        <v>82</v>
      </c>
      <c r="B95" s="1">
        <v>45457</v>
      </c>
      <c r="C95" t="s">
        <v>27</v>
      </c>
      <c r="D95" t="s">
        <v>9</v>
      </c>
      <c r="E95" t="s">
        <v>14</v>
      </c>
      <c r="F95">
        <v>130</v>
      </c>
      <c r="G95">
        <v>16740</v>
      </c>
      <c r="H95" t="s">
        <v>11</v>
      </c>
      <c r="I95">
        <v>25</v>
      </c>
    </row>
    <row r="96" spans="1:9" x14ac:dyDescent="0.3">
      <c r="A96">
        <v>45</v>
      </c>
      <c r="B96" s="1">
        <v>45458</v>
      </c>
      <c r="C96" t="s">
        <v>12</v>
      </c>
      <c r="D96" t="s">
        <v>16</v>
      </c>
      <c r="E96" t="s">
        <v>23</v>
      </c>
      <c r="F96">
        <v>79</v>
      </c>
      <c r="G96">
        <v>11078</v>
      </c>
      <c r="H96" t="s">
        <v>11</v>
      </c>
      <c r="I96">
        <v>36</v>
      </c>
    </row>
    <row r="97" spans="1:9" x14ac:dyDescent="0.3">
      <c r="A97">
        <v>99</v>
      </c>
      <c r="B97" s="1">
        <v>45464</v>
      </c>
      <c r="C97" t="s">
        <v>12</v>
      </c>
      <c r="D97" t="s">
        <v>24</v>
      </c>
      <c r="E97" t="s">
        <v>23</v>
      </c>
      <c r="F97">
        <v>216</v>
      </c>
      <c r="G97">
        <v>36934</v>
      </c>
      <c r="H97" t="s">
        <v>11</v>
      </c>
      <c r="I97">
        <v>42</v>
      </c>
    </row>
    <row r="98" spans="1:9" x14ac:dyDescent="0.3">
      <c r="A98">
        <v>14</v>
      </c>
      <c r="B98" s="1">
        <v>45465</v>
      </c>
      <c r="C98" t="s">
        <v>8</v>
      </c>
      <c r="D98" t="s">
        <v>20</v>
      </c>
      <c r="E98" t="s">
        <v>10</v>
      </c>
      <c r="F98">
        <v>332</v>
      </c>
      <c r="G98">
        <v>679</v>
      </c>
      <c r="H98" t="s">
        <v>11</v>
      </c>
      <c r="I98">
        <v>26</v>
      </c>
    </row>
    <row r="99" spans="1:9" x14ac:dyDescent="0.3">
      <c r="A99">
        <v>38</v>
      </c>
      <c r="B99" s="1">
        <v>45467</v>
      </c>
      <c r="C99" t="s">
        <v>12</v>
      </c>
      <c r="D99" t="s">
        <v>24</v>
      </c>
      <c r="E99" t="s">
        <v>23</v>
      </c>
      <c r="F99">
        <v>115</v>
      </c>
      <c r="G99">
        <v>14076</v>
      </c>
      <c r="H99" t="s">
        <v>11</v>
      </c>
      <c r="I99">
        <v>42</v>
      </c>
    </row>
    <row r="100" spans="1:9" x14ac:dyDescent="0.3">
      <c r="A100">
        <v>19</v>
      </c>
      <c r="B100" s="1">
        <v>45469</v>
      </c>
      <c r="C100" t="s">
        <v>12</v>
      </c>
      <c r="D100" t="s">
        <v>26</v>
      </c>
      <c r="E100" t="s">
        <v>10</v>
      </c>
      <c r="F100">
        <v>443</v>
      </c>
      <c r="G100">
        <v>50652</v>
      </c>
      <c r="H100" t="s">
        <v>18</v>
      </c>
      <c r="I100">
        <v>49</v>
      </c>
    </row>
    <row r="101" spans="1:9" x14ac:dyDescent="0.3">
      <c r="A101">
        <v>78</v>
      </c>
      <c r="B101" s="1">
        <v>45469</v>
      </c>
      <c r="C101" t="s">
        <v>8</v>
      </c>
      <c r="D101" t="s">
        <v>20</v>
      </c>
      <c r="E101" t="s">
        <v>10</v>
      </c>
      <c r="F101">
        <v>465</v>
      </c>
      <c r="G101">
        <v>679</v>
      </c>
      <c r="H101" t="s">
        <v>11</v>
      </c>
      <c r="I101">
        <v>26</v>
      </c>
    </row>
    <row r="102" spans="1:9" x14ac:dyDescent="0.3">
      <c r="A102">
        <v>7</v>
      </c>
      <c r="B102" s="1">
        <v>45472</v>
      </c>
      <c r="C102" t="s">
        <v>12</v>
      </c>
      <c r="D102" t="s">
        <v>21</v>
      </c>
      <c r="E102" t="s">
        <v>17</v>
      </c>
      <c r="F102">
        <v>68</v>
      </c>
      <c r="G102">
        <v>11696</v>
      </c>
      <c r="H102" t="s">
        <v>18</v>
      </c>
      <c r="I102">
        <v>28</v>
      </c>
    </row>
    <row r="103" spans="1:9" x14ac:dyDescent="0.3">
      <c r="A103">
        <v>13</v>
      </c>
      <c r="B103" s="1">
        <v>45472</v>
      </c>
      <c r="C103" t="s">
        <v>15</v>
      </c>
      <c r="D103" t="s">
        <v>9</v>
      </c>
      <c r="E103" t="s">
        <v>23</v>
      </c>
      <c r="F103">
        <v>435</v>
      </c>
      <c r="G103">
        <v>64090</v>
      </c>
      <c r="H103" t="s">
        <v>11</v>
      </c>
      <c r="I103">
        <v>25</v>
      </c>
    </row>
    <row r="104" spans="1:9" x14ac:dyDescent="0.3">
      <c r="A104">
        <v>77</v>
      </c>
      <c r="B104" s="1">
        <v>45478</v>
      </c>
      <c r="C104" t="s">
        <v>12</v>
      </c>
      <c r="D104" t="s">
        <v>24</v>
      </c>
      <c r="E104" t="s">
        <v>14</v>
      </c>
      <c r="F104">
        <v>115</v>
      </c>
      <c r="G104">
        <v>34804</v>
      </c>
      <c r="H104" t="s">
        <v>11</v>
      </c>
      <c r="I104">
        <v>42</v>
      </c>
    </row>
    <row r="105" spans="1:9" x14ac:dyDescent="0.3">
      <c r="A105">
        <v>39</v>
      </c>
      <c r="B105" s="1">
        <v>45489</v>
      </c>
      <c r="C105" t="s">
        <v>15</v>
      </c>
      <c r="D105" t="s">
        <v>16</v>
      </c>
      <c r="E105" t="s">
        <v>10</v>
      </c>
      <c r="F105">
        <v>248</v>
      </c>
      <c r="G105">
        <v>12870</v>
      </c>
      <c r="H105" t="s">
        <v>11</v>
      </c>
      <c r="I105">
        <v>36</v>
      </c>
    </row>
    <row r="106" spans="1:9" x14ac:dyDescent="0.3">
      <c r="A106">
        <v>102</v>
      </c>
      <c r="B106" s="1">
        <v>45497</v>
      </c>
      <c r="C106" t="s">
        <v>27</v>
      </c>
      <c r="D106" t="s">
        <v>20</v>
      </c>
      <c r="E106" t="s">
        <v>10</v>
      </c>
      <c r="F106">
        <v>376</v>
      </c>
      <c r="G106">
        <v>679</v>
      </c>
      <c r="H106" t="s">
        <v>11</v>
      </c>
      <c r="I106">
        <v>26</v>
      </c>
    </row>
    <row r="107" spans="1:9" x14ac:dyDescent="0.3">
      <c r="A107">
        <v>111</v>
      </c>
      <c r="B107" s="1">
        <v>45497</v>
      </c>
      <c r="C107" t="s">
        <v>15</v>
      </c>
      <c r="D107" t="s">
        <v>20</v>
      </c>
      <c r="E107" t="s">
        <v>23</v>
      </c>
      <c r="F107">
        <v>319</v>
      </c>
      <c r="G107">
        <v>4221</v>
      </c>
      <c r="H107" t="s">
        <v>18</v>
      </c>
      <c r="I107">
        <v>26</v>
      </c>
    </row>
    <row r="108" spans="1:9" x14ac:dyDescent="0.3">
      <c r="A108">
        <v>3</v>
      </c>
      <c r="B108" s="1">
        <v>45504</v>
      </c>
      <c r="C108" t="s">
        <v>15</v>
      </c>
      <c r="D108" t="s">
        <v>16</v>
      </c>
      <c r="E108" t="s">
        <v>17</v>
      </c>
      <c r="F108">
        <v>478</v>
      </c>
      <c r="G108">
        <v>76076</v>
      </c>
      <c r="H108" t="s">
        <v>18</v>
      </c>
      <c r="I108">
        <v>36</v>
      </c>
    </row>
    <row r="109" spans="1:9" x14ac:dyDescent="0.3">
      <c r="A109">
        <v>73</v>
      </c>
      <c r="B109" s="1">
        <v>45506</v>
      </c>
      <c r="C109" t="s">
        <v>12</v>
      </c>
      <c r="D109" t="s">
        <v>24</v>
      </c>
      <c r="E109" t="s">
        <v>17</v>
      </c>
      <c r="F109">
        <v>265</v>
      </c>
      <c r="G109">
        <v>12320</v>
      </c>
      <c r="H109" t="s">
        <v>11</v>
      </c>
      <c r="I109">
        <v>42</v>
      </c>
    </row>
    <row r="110" spans="1:9" x14ac:dyDescent="0.3">
      <c r="A110">
        <v>10</v>
      </c>
      <c r="B110" s="1">
        <v>45508</v>
      </c>
      <c r="C110" t="s">
        <v>12</v>
      </c>
      <c r="D110" t="s">
        <v>24</v>
      </c>
      <c r="E110" t="s">
        <v>10</v>
      </c>
      <c r="F110">
        <v>396</v>
      </c>
      <c r="G110">
        <v>38480</v>
      </c>
      <c r="H110" t="s">
        <v>11</v>
      </c>
      <c r="I110">
        <v>42</v>
      </c>
    </row>
    <row r="111" spans="1:9" x14ac:dyDescent="0.3">
      <c r="A111">
        <v>54</v>
      </c>
      <c r="B111" s="1">
        <v>45510</v>
      </c>
      <c r="C111" t="s">
        <v>12</v>
      </c>
      <c r="D111" t="s">
        <v>22</v>
      </c>
      <c r="E111" t="s">
        <v>10</v>
      </c>
      <c r="F111">
        <v>429</v>
      </c>
      <c r="G111">
        <v>58208</v>
      </c>
      <c r="H111" t="s">
        <v>18</v>
      </c>
      <c r="I111">
        <v>28</v>
      </c>
    </row>
    <row r="112" spans="1:9" x14ac:dyDescent="0.3">
      <c r="A112">
        <v>63</v>
      </c>
      <c r="B112" s="1">
        <v>45510</v>
      </c>
      <c r="C112" t="s">
        <v>27</v>
      </c>
      <c r="D112" t="s">
        <v>9</v>
      </c>
      <c r="E112" t="s">
        <v>10</v>
      </c>
      <c r="F112">
        <v>305</v>
      </c>
      <c r="G112">
        <v>3186</v>
      </c>
      <c r="H112" t="s">
        <v>11</v>
      </c>
      <c r="I112">
        <v>25</v>
      </c>
    </row>
    <row r="113" spans="1:9" x14ac:dyDescent="0.3">
      <c r="A113">
        <v>27</v>
      </c>
      <c r="B113" s="1">
        <v>45511</v>
      </c>
      <c r="C113" t="s">
        <v>12</v>
      </c>
      <c r="D113" t="s">
        <v>24</v>
      </c>
      <c r="E113" t="s">
        <v>23</v>
      </c>
      <c r="F113">
        <v>422</v>
      </c>
      <c r="G113">
        <v>13490</v>
      </c>
      <c r="H113" t="s">
        <v>11</v>
      </c>
      <c r="I113">
        <v>42</v>
      </c>
    </row>
    <row r="114" spans="1:9" x14ac:dyDescent="0.3">
      <c r="A114">
        <v>23</v>
      </c>
      <c r="B114" s="1">
        <v>45520</v>
      </c>
      <c r="C114" t="s">
        <v>15</v>
      </c>
      <c r="D114" t="s">
        <v>21</v>
      </c>
      <c r="E114" t="s">
        <v>10</v>
      </c>
      <c r="F114">
        <v>90</v>
      </c>
      <c r="G114">
        <v>42328</v>
      </c>
      <c r="H114" t="s">
        <v>11</v>
      </c>
      <c r="I114">
        <v>28</v>
      </c>
    </row>
    <row r="115" spans="1:9" x14ac:dyDescent="0.3">
      <c r="A115">
        <v>95</v>
      </c>
      <c r="B115" s="1">
        <v>45521</v>
      </c>
      <c r="C115" t="s">
        <v>15</v>
      </c>
      <c r="D115" t="s">
        <v>24</v>
      </c>
      <c r="E115" t="s">
        <v>14</v>
      </c>
      <c r="F115">
        <v>306</v>
      </c>
      <c r="G115">
        <v>679</v>
      </c>
      <c r="H115" t="s">
        <v>11</v>
      </c>
      <c r="I115">
        <v>42</v>
      </c>
    </row>
    <row r="116" spans="1:9" x14ac:dyDescent="0.3">
      <c r="A116">
        <v>112</v>
      </c>
      <c r="B116" s="1">
        <v>45527</v>
      </c>
      <c r="C116" t="s">
        <v>27</v>
      </c>
      <c r="D116" t="s">
        <v>25</v>
      </c>
      <c r="E116" t="s">
        <v>10</v>
      </c>
      <c r="F116">
        <v>62</v>
      </c>
      <c r="G116">
        <v>31500</v>
      </c>
      <c r="H116" t="s">
        <v>18</v>
      </c>
      <c r="I116">
        <v>25</v>
      </c>
    </row>
    <row r="117" spans="1:9" x14ac:dyDescent="0.3">
      <c r="A117">
        <v>26</v>
      </c>
      <c r="B117" s="1">
        <v>45530</v>
      </c>
      <c r="C117" t="s">
        <v>12</v>
      </c>
      <c r="D117" t="s">
        <v>24</v>
      </c>
      <c r="E117" t="s">
        <v>10</v>
      </c>
      <c r="F117">
        <v>406</v>
      </c>
      <c r="G117">
        <v>47880</v>
      </c>
      <c r="H117" t="s">
        <v>18</v>
      </c>
      <c r="I117">
        <v>42</v>
      </c>
    </row>
    <row r="118" spans="1:9" x14ac:dyDescent="0.3">
      <c r="A118">
        <v>69</v>
      </c>
      <c r="B118" s="1">
        <v>45532</v>
      </c>
      <c r="C118" t="s">
        <v>27</v>
      </c>
      <c r="D118" t="s">
        <v>16</v>
      </c>
      <c r="E118" t="s">
        <v>14</v>
      </c>
      <c r="F118">
        <v>183</v>
      </c>
      <c r="G118">
        <v>679</v>
      </c>
      <c r="H118" t="s">
        <v>18</v>
      </c>
      <c r="I118">
        <v>36</v>
      </c>
    </row>
    <row r="119" spans="1:9" x14ac:dyDescent="0.3">
      <c r="A119">
        <v>31</v>
      </c>
      <c r="B119" s="1">
        <v>45543</v>
      </c>
      <c r="C119" t="s">
        <v>15</v>
      </c>
      <c r="D119" t="s">
        <v>24</v>
      </c>
      <c r="E119" t="s">
        <v>23</v>
      </c>
      <c r="F119">
        <v>369</v>
      </c>
      <c r="G119">
        <v>5246</v>
      </c>
      <c r="H119" t="s">
        <v>18</v>
      </c>
      <c r="I119">
        <v>42</v>
      </c>
    </row>
    <row r="120" spans="1:9" x14ac:dyDescent="0.3">
      <c r="A120">
        <v>79</v>
      </c>
      <c r="B120" s="1">
        <v>45544</v>
      </c>
      <c r="C120" t="s">
        <v>27</v>
      </c>
      <c r="D120" t="s">
        <v>24</v>
      </c>
      <c r="E120" t="s">
        <v>17</v>
      </c>
      <c r="F120">
        <v>519</v>
      </c>
      <c r="G120">
        <v>45312</v>
      </c>
      <c r="H120" t="s">
        <v>18</v>
      </c>
      <c r="I120">
        <v>42</v>
      </c>
    </row>
    <row r="121" spans="1:9" x14ac:dyDescent="0.3">
      <c r="A121">
        <v>55</v>
      </c>
      <c r="B121" s="1">
        <v>45549</v>
      </c>
      <c r="C121" t="s">
        <v>8</v>
      </c>
      <c r="D121" t="s">
        <v>24</v>
      </c>
      <c r="E121" t="s">
        <v>14</v>
      </c>
      <c r="F121">
        <v>491</v>
      </c>
      <c r="G121">
        <v>59458</v>
      </c>
      <c r="H121" t="s">
        <v>18</v>
      </c>
      <c r="I121">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0A2B-1D2A-4B12-A494-BCD375275349}">
  <dimension ref="A1:K121"/>
  <sheetViews>
    <sheetView topLeftCell="A2" zoomScale="139" workbookViewId="0">
      <selection activeCell="A2" sqref="A2:K121"/>
    </sheetView>
  </sheetViews>
  <sheetFormatPr defaultRowHeight="14.4" x14ac:dyDescent="0.3"/>
  <cols>
    <col min="1" max="1" width="13.44140625" customWidth="1"/>
    <col min="2" max="2" width="15.6640625" customWidth="1"/>
    <col min="3" max="3" width="8" customWidth="1"/>
    <col min="4" max="4" width="11.21875" bestFit="1" customWidth="1"/>
    <col min="5" max="5" width="13" customWidth="1"/>
    <col min="6" max="6" width="14.77734375" customWidth="1"/>
    <col min="7" max="7" width="10.21875" customWidth="1"/>
    <col min="8" max="8" width="8.77734375" bestFit="1" customWidth="1"/>
    <col min="9" max="9" width="9.77734375" customWidth="1"/>
    <col min="10" max="10" width="11.88671875" bestFit="1" customWidth="1"/>
    <col min="11" max="11" width="24.21875" bestFit="1" customWidth="1"/>
  </cols>
  <sheetData>
    <row r="1" spans="1:11" x14ac:dyDescent="0.3">
      <c r="A1" t="s">
        <v>0</v>
      </c>
      <c r="B1" t="s">
        <v>1</v>
      </c>
      <c r="C1" t="s">
        <v>2</v>
      </c>
      <c r="D1" t="s">
        <v>3</v>
      </c>
      <c r="E1" t="s">
        <v>4</v>
      </c>
      <c r="F1" t="s">
        <v>5</v>
      </c>
      <c r="G1" t="s">
        <v>6</v>
      </c>
      <c r="H1" t="s">
        <v>7</v>
      </c>
      <c r="I1" t="s">
        <v>29</v>
      </c>
      <c r="J1" t="s">
        <v>31</v>
      </c>
      <c r="K1" t="s">
        <v>32</v>
      </c>
    </row>
    <row r="2" spans="1:11" x14ac:dyDescent="0.3">
      <c r="A2">
        <v>1</v>
      </c>
      <c r="B2" s="1">
        <v>45380</v>
      </c>
      <c r="C2" t="s">
        <v>8</v>
      </c>
      <c r="D2" t="s">
        <v>9</v>
      </c>
      <c r="E2" t="s">
        <v>10</v>
      </c>
      <c r="F2">
        <v>412</v>
      </c>
      <c r="G2">
        <v>22288</v>
      </c>
      <c r="H2" t="s">
        <v>11</v>
      </c>
      <c r="I2">
        <v>25</v>
      </c>
      <c r="J2" t="str">
        <f>IF(Table1[[#This Row],[True Age]]&lt;=35,"Young",IF(Table1[[#This Row],[True Age]]&lt;=45,"Senior","Super Senior"))</f>
        <v>Young</v>
      </c>
      <c r="K2" s="3">
        <f>Table1[[#This Row],[TotalCost]]/Table1[[#This Row],[UnitsProduced]]</f>
        <v>54.097087378640779</v>
      </c>
    </row>
    <row r="3" spans="1:11" x14ac:dyDescent="0.3">
      <c r="A3">
        <v>2</v>
      </c>
      <c r="B3" s="1">
        <v>45420</v>
      </c>
      <c r="C3" t="s">
        <v>12</v>
      </c>
      <c r="D3" t="s">
        <v>13</v>
      </c>
      <c r="E3" t="s">
        <v>14</v>
      </c>
      <c r="F3">
        <v>430</v>
      </c>
      <c r="G3">
        <v>66500</v>
      </c>
      <c r="H3" t="s">
        <v>11</v>
      </c>
      <c r="I3">
        <v>52</v>
      </c>
      <c r="J3" t="str">
        <f>IF(Table1[[#This Row],[True Age]]&lt;=35,"Young",IF(Table1[[#This Row],[True Age]]&lt;=45,"Senior","Super Senior"))</f>
        <v>Super Senior</v>
      </c>
      <c r="K3" s="3">
        <f>Table1[[#This Row],[TotalCost]]/Table1[[#This Row],[UnitsProduced]]</f>
        <v>154.65116279069767</v>
      </c>
    </row>
    <row r="4" spans="1:11" x14ac:dyDescent="0.3">
      <c r="A4">
        <v>3</v>
      </c>
      <c r="B4" s="1">
        <v>45504</v>
      </c>
      <c r="C4" t="s">
        <v>15</v>
      </c>
      <c r="D4" t="s">
        <v>16</v>
      </c>
      <c r="E4" t="s">
        <v>17</v>
      </c>
      <c r="F4">
        <v>478</v>
      </c>
      <c r="G4">
        <v>76076</v>
      </c>
      <c r="H4" t="s">
        <v>18</v>
      </c>
      <c r="I4">
        <v>36</v>
      </c>
      <c r="J4" t="str">
        <f>IF(Table1[[#This Row],[True Age]]&lt;=35,"Young",IF(Table1[[#This Row],[True Age]]&lt;=45,"Senior","Super Senior"))</f>
        <v>Senior</v>
      </c>
      <c r="K4" s="3">
        <f>Table1[[#This Row],[TotalCost]]/Table1[[#This Row],[UnitsProduced]]</f>
        <v>159.15481171548117</v>
      </c>
    </row>
    <row r="5" spans="1:11" x14ac:dyDescent="0.3">
      <c r="A5">
        <v>4</v>
      </c>
      <c r="B5" s="1">
        <v>45214</v>
      </c>
      <c r="C5" t="s">
        <v>12</v>
      </c>
      <c r="D5" t="s">
        <v>19</v>
      </c>
      <c r="E5" t="s">
        <v>17</v>
      </c>
      <c r="F5">
        <v>459</v>
      </c>
      <c r="G5">
        <v>17069</v>
      </c>
      <c r="H5" t="s">
        <v>28</v>
      </c>
      <c r="I5">
        <v>57</v>
      </c>
      <c r="J5" t="str">
        <f>IF(Table1[[#This Row],[True Age]]&lt;=35,"Young",IF(Table1[[#This Row],[True Age]]&lt;=45,"Senior","Super Senior"))</f>
        <v>Super Senior</v>
      </c>
      <c r="K5" s="3">
        <f>Table1[[#This Row],[TotalCost]]/Table1[[#This Row],[UnitsProduced]]</f>
        <v>37.187363834422655</v>
      </c>
    </row>
    <row r="6" spans="1:11" x14ac:dyDescent="0.3">
      <c r="A6">
        <v>5</v>
      </c>
      <c r="B6" s="1">
        <v>45449</v>
      </c>
      <c r="C6" t="s">
        <v>8</v>
      </c>
      <c r="D6" t="s">
        <v>20</v>
      </c>
      <c r="E6" t="s">
        <v>17</v>
      </c>
      <c r="F6">
        <v>178</v>
      </c>
      <c r="G6">
        <v>41349</v>
      </c>
      <c r="H6" t="s">
        <v>18</v>
      </c>
      <c r="I6">
        <v>26</v>
      </c>
      <c r="J6" t="str">
        <f>IF(Table1[[#This Row],[True Age]]&lt;=35,"Young",IF(Table1[[#This Row],[True Age]]&lt;=45,"Senior","Super Senior"))</f>
        <v>Young</v>
      </c>
      <c r="K6" s="3">
        <f>Table1[[#This Row],[TotalCost]]/Table1[[#This Row],[UnitsProduced]]</f>
        <v>232.29775280898878</v>
      </c>
    </row>
    <row r="7" spans="1:11" x14ac:dyDescent="0.3">
      <c r="A7">
        <v>6</v>
      </c>
      <c r="B7" s="1">
        <v>45350</v>
      </c>
      <c r="C7" t="s">
        <v>12</v>
      </c>
      <c r="D7" t="s">
        <v>20</v>
      </c>
      <c r="E7" t="s">
        <v>17</v>
      </c>
      <c r="F7">
        <v>401</v>
      </c>
      <c r="G7">
        <v>19691</v>
      </c>
      <c r="H7" t="s">
        <v>18</v>
      </c>
      <c r="I7">
        <v>26</v>
      </c>
      <c r="J7" t="str">
        <f>IF(Table1[[#This Row],[True Age]]&lt;=35,"Young",IF(Table1[[#This Row],[True Age]]&lt;=45,"Senior","Super Senior"))</f>
        <v>Young</v>
      </c>
      <c r="K7" s="3">
        <f>Table1[[#This Row],[TotalCost]]/Table1[[#This Row],[UnitsProduced]]</f>
        <v>49.104738154613464</v>
      </c>
    </row>
    <row r="8" spans="1:11" x14ac:dyDescent="0.3">
      <c r="A8">
        <v>7</v>
      </c>
      <c r="B8" s="1">
        <v>45472</v>
      </c>
      <c r="C8" t="s">
        <v>12</v>
      </c>
      <c r="D8" t="s">
        <v>21</v>
      </c>
      <c r="E8" t="s">
        <v>17</v>
      </c>
      <c r="F8">
        <v>68</v>
      </c>
      <c r="G8">
        <v>11696</v>
      </c>
      <c r="H8" t="s">
        <v>18</v>
      </c>
      <c r="I8">
        <v>28</v>
      </c>
      <c r="J8" t="str">
        <f>IF(Table1[[#This Row],[True Age]]&lt;=35,"Young",IF(Table1[[#This Row],[True Age]]&lt;=45,"Senior","Super Senior"))</f>
        <v>Young</v>
      </c>
      <c r="K8" s="3">
        <f>Table1[[#This Row],[TotalCost]]/Table1[[#This Row],[UnitsProduced]]</f>
        <v>172</v>
      </c>
    </row>
    <row r="9" spans="1:11" x14ac:dyDescent="0.3">
      <c r="A9">
        <v>8</v>
      </c>
      <c r="B9" s="1">
        <v>45299</v>
      </c>
      <c r="C9" t="s">
        <v>12</v>
      </c>
      <c r="D9" t="s">
        <v>22</v>
      </c>
      <c r="E9" t="s">
        <v>23</v>
      </c>
      <c r="F9">
        <v>447</v>
      </c>
      <c r="G9">
        <v>52269</v>
      </c>
      <c r="H9" t="s">
        <v>18</v>
      </c>
      <c r="I9">
        <v>28</v>
      </c>
      <c r="J9" t="str">
        <f>IF(Table1[[#This Row],[True Age]]&lt;=35,"Young",IF(Table1[[#This Row],[True Age]]&lt;=45,"Senior","Super Senior"))</f>
        <v>Young</v>
      </c>
      <c r="K9" s="3">
        <f>Table1[[#This Row],[TotalCost]]/Table1[[#This Row],[UnitsProduced]]</f>
        <v>116.93288590604027</v>
      </c>
    </row>
    <row r="10" spans="1:11" x14ac:dyDescent="0.3">
      <c r="A10">
        <v>9</v>
      </c>
      <c r="B10" s="1">
        <v>45217</v>
      </c>
      <c r="C10" t="s">
        <v>12</v>
      </c>
      <c r="D10" t="s">
        <v>24</v>
      </c>
      <c r="E10" t="s">
        <v>23</v>
      </c>
      <c r="F10">
        <v>55</v>
      </c>
      <c r="G10">
        <v>25893</v>
      </c>
      <c r="H10" t="s">
        <v>18</v>
      </c>
      <c r="I10">
        <v>42</v>
      </c>
      <c r="J10" t="str">
        <f>IF(Table1[[#This Row],[True Age]]&lt;=35,"Young",IF(Table1[[#This Row],[True Age]]&lt;=45,"Senior","Super Senior"))</f>
        <v>Senior</v>
      </c>
      <c r="K10" s="3">
        <f>Table1[[#This Row],[TotalCost]]/Table1[[#This Row],[UnitsProduced]]</f>
        <v>470.78181818181821</v>
      </c>
    </row>
    <row r="11" spans="1:11" x14ac:dyDescent="0.3">
      <c r="A11">
        <v>10</v>
      </c>
      <c r="B11" s="1">
        <v>45508</v>
      </c>
      <c r="C11" t="s">
        <v>12</v>
      </c>
      <c r="D11" t="s">
        <v>24</v>
      </c>
      <c r="E11" t="s">
        <v>10</v>
      </c>
      <c r="F11">
        <v>396</v>
      </c>
      <c r="G11">
        <v>38480</v>
      </c>
      <c r="H11" t="s">
        <v>11</v>
      </c>
      <c r="I11">
        <v>42</v>
      </c>
      <c r="J11" t="str">
        <f>IF(Table1[[#This Row],[True Age]]&lt;=35,"Young",IF(Table1[[#This Row],[True Age]]&lt;=45,"Senior","Super Senior"))</f>
        <v>Senior</v>
      </c>
      <c r="K11" s="3">
        <f>Table1[[#This Row],[TotalCost]]/Table1[[#This Row],[UnitsProduced]]</f>
        <v>97.171717171717177</v>
      </c>
    </row>
    <row r="12" spans="1:11" x14ac:dyDescent="0.3">
      <c r="A12">
        <v>11</v>
      </c>
      <c r="B12" s="1">
        <v>45335</v>
      </c>
      <c r="C12" t="s">
        <v>12</v>
      </c>
      <c r="D12" t="s">
        <v>25</v>
      </c>
      <c r="E12" t="s">
        <v>17</v>
      </c>
      <c r="F12">
        <v>494</v>
      </c>
      <c r="G12">
        <v>46767</v>
      </c>
      <c r="H12" t="s">
        <v>11</v>
      </c>
      <c r="I12">
        <v>25</v>
      </c>
      <c r="J12" t="str">
        <f>IF(Table1[[#This Row],[True Age]]&lt;=35,"Young",IF(Table1[[#This Row],[True Age]]&lt;=45,"Senior","Super Senior"))</f>
        <v>Young</v>
      </c>
      <c r="K12" s="3">
        <f>Table1[[#This Row],[TotalCost]]/Table1[[#This Row],[UnitsProduced]]</f>
        <v>94.670040485829958</v>
      </c>
    </row>
    <row r="13" spans="1:11" x14ac:dyDescent="0.3">
      <c r="A13">
        <v>12</v>
      </c>
      <c r="B13" s="1">
        <v>45410</v>
      </c>
      <c r="C13" t="s">
        <v>12</v>
      </c>
      <c r="D13" t="s">
        <v>25</v>
      </c>
      <c r="E13" t="s">
        <v>10</v>
      </c>
      <c r="F13">
        <v>462</v>
      </c>
      <c r="G13">
        <v>26145</v>
      </c>
      <c r="H13" t="s">
        <v>28</v>
      </c>
      <c r="I13">
        <v>25</v>
      </c>
      <c r="J13" t="str">
        <f>IF(Table1[[#This Row],[True Age]]&lt;=35,"Young",IF(Table1[[#This Row],[True Age]]&lt;=45,"Senior","Super Senior"))</f>
        <v>Young</v>
      </c>
      <c r="K13" s="3">
        <f>Table1[[#This Row],[TotalCost]]/Table1[[#This Row],[UnitsProduced]]</f>
        <v>56.590909090909093</v>
      </c>
    </row>
    <row r="14" spans="1:11" x14ac:dyDescent="0.3">
      <c r="A14">
        <v>13</v>
      </c>
      <c r="B14" s="1">
        <v>45472</v>
      </c>
      <c r="C14" t="s">
        <v>15</v>
      </c>
      <c r="D14" t="s">
        <v>9</v>
      </c>
      <c r="E14" t="s">
        <v>23</v>
      </c>
      <c r="F14">
        <v>435</v>
      </c>
      <c r="G14">
        <v>64090</v>
      </c>
      <c r="H14" t="s">
        <v>11</v>
      </c>
      <c r="I14">
        <v>25</v>
      </c>
      <c r="J14" t="str">
        <f>IF(Table1[[#This Row],[True Age]]&lt;=35,"Young",IF(Table1[[#This Row],[True Age]]&lt;=45,"Senior","Super Senior"))</f>
        <v>Young</v>
      </c>
      <c r="K14" s="3">
        <f>Table1[[#This Row],[TotalCost]]/Table1[[#This Row],[UnitsProduced]]</f>
        <v>147.33333333333334</v>
      </c>
    </row>
    <row r="15" spans="1:11" x14ac:dyDescent="0.3">
      <c r="A15">
        <v>14</v>
      </c>
      <c r="B15" s="1">
        <v>45465</v>
      </c>
      <c r="C15" t="s">
        <v>8</v>
      </c>
      <c r="D15" t="s">
        <v>20</v>
      </c>
      <c r="E15" t="s">
        <v>10</v>
      </c>
      <c r="F15">
        <v>332</v>
      </c>
      <c r="G15">
        <v>679</v>
      </c>
      <c r="H15" t="s">
        <v>11</v>
      </c>
      <c r="I15">
        <v>26</v>
      </c>
      <c r="J15" t="str">
        <f>IF(Table1[[#This Row],[True Age]]&lt;=35,"Young",IF(Table1[[#This Row],[True Age]]&lt;=45,"Senior","Super Senior"))</f>
        <v>Young</v>
      </c>
      <c r="K15" s="3">
        <f>Table1[[#This Row],[TotalCost]]/Table1[[#This Row],[UnitsProduced]]</f>
        <v>2.0451807228915664</v>
      </c>
    </row>
    <row r="16" spans="1:11" x14ac:dyDescent="0.3">
      <c r="A16">
        <v>15</v>
      </c>
      <c r="B16" s="1">
        <v>45398</v>
      </c>
      <c r="C16" t="s">
        <v>15</v>
      </c>
      <c r="D16" t="s">
        <v>24</v>
      </c>
      <c r="E16" t="s">
        <v>10</v>
      </c>
      <c r="F16">
        <v>383</v>
      </c>
      <c r="G16">
        <v>39008</v>
      </c>
      <c r="H16" t="s">
        <v>28</v>
      </c>
      <c r="I16">
        <v>42</v>
      </c>
      <c r="J16" t="str">
        <f>IF(Table1[[#This Row],[True Age]]&lt;=35,"Young",IF(Table1[[#This Row],[True Age]]&lt;=45,"Senior","Super Senior"))</f>
        <v>Senior</v>
      </c>
      <c r="K16" s="3">
        <f>Table1[[#This Row],[TotalCost]]/Table1[[#This Row],[UnitsProduced]]</f>
        <v>101.8485639686684</v>
      </c>
    </row>
    <row r="17" spans="1:11" x14ac:dyDescent="0.3">
      <c r="A17">
        <v>16</v>
      </c>
      <c r="B17" s="1">
        <v>45318</v>
      </c>
      <c r="C17" t="s">
        <v>15</v>
      </c>
      <c r="D17" t="s">
        <v>20</v>
      </c>
      <c r="E17" t="s">
        <v>14</v>
      </c>
      <c r="F17">
        <v>193</v>
      </c>
      <c r="G17">
        <v>18796</v>
      </c>
      <c r="H17" t="s">
        <v>18</v>
      </c>
      <c r="I17">
        <v>26</v>
      </c>
      <c r="J17" t="str">
        <f>IF(Table1[[#This Row],[True Age]]&lt;=35,"Young",IF(Table1[[#This Row],[True Age]]&lt;=45,"Senior","Super Senior"))</f>
        <v>Young</v>
      </c>
      <c r="K17" s="3">
        <f>Table1[[#This Row],[TotalCost]]/Table1[[#This Row],[UnitsProduced]]</f>
        <v>97.388601036269435</v>
      </c>
    </row>
    <row r="18" spans="1:11" x14ac:dyDescent="0.3">
      <c r="A18">
        <v>17</v>
      </c>
      <c r="B18" s="1">
        <v>45215</v>
      </c>
      <c r="C18" t="s">
        <v>12</v>
      </c>
      <c r="D18" t="s">
        <v>24</v>
      </c>
      <c r="E18" t="s">
        <v>17</v>
      </c>
      <c r="F18">
        <v>240</v>
      </c>
      <c r="G18">
        <v>65052</v>
      </c>
      <c r="H18" t="s">
        <v>11</v>
      </c>
      <c r="I18">
        <v>42</v>
      </c>
      <c r="J18" t="str">
        <f>IF(Table1[[#This Row],[True Age]]&lt;=35,"Young",IF(Table1[[#This Row],[True Age]]&lt;=45,"Senior","Super Senior"))</f>
        <v>Senior</v>
      </c>
      <c r="K18" s="3">
        <f>Table1[[#This Row],[TotalCost]]/Table1[[#This Row],[UnitsProduced]]</f>
        <v>271.05</v>
      </c>
    </row>
    <row r="19" spans="1:11" x14ac:dyDescent="0.3">
      <c r="A19">
        <v>18</v>
      </c>
      <c r="B19" s="1">
        <v>45381</v>
      </c>
      <c r="C19" t="s">
        <v>12</v>
      </c>
      <c r="D19" t="s">
        <v>26</v>
      </c>
      <c r="E19" t="s">
        <v>10</v>
      </c>
      <c r="F19">
        <v>363</v>
      </c>
      <c r="G19">
        <v>38232</v>
      </c>
      <c r="H19" t="s">
        <v>11</v>
      </c>
      <c r="I19">
        <v>49</v>
      </c>
      <c r="J19" t="str">
        <f>IF(Table1[[#This Row],[True Age]]&lt;=35,"Young",IF(Table1[[#This Row],[True Age]]&lt;=45,"Senior","Super Senior"))</f>
        <v>Super Senior</v>
      </c>
      <c r="K19" s="3">
        <f>Table1[[#This Row],[TotalCost]]/Table1[[#This Row],[UnitsProduced]]</f>
        <v>105.32231404958678</v>
      </c>
    </row>
    <row r="20" spans="1:11" x14ac:dyDescent="0.3">
      <c r="A20">
        <v>19</v>
      </c>
      <c r="B20" s="1">
        <v>45469</v>
      </c>
      <c r="C20" t="s">
        <v>12</v>
      </c>
      <c r="D20" t="s">
        <v>26</v>
      </c>
      <c r="E20" t="s">
        <v>10</v>
      </c>
      <c r="F20">
        <v>443</v>
      </c>
      <c r="G20">
        <v>50652</v>
      </c>
      <c r="H20" t="s">
        <v>18</v>
      </c>
      <c r="I20">
        <v>49</v>
      </c>
      <c r="J20" t="str">
        <f>IF(Table1[[#This Row],[True Age]]&lt;=35,"Young",IF(Table1[[#This Row],[True Age]]&lt;=45,"Senior","Super Senior"))</f>
        <v>Super Senior</v>
      </c>
      <c r="K20" s="3">
        <f>Table1[[#This Row],[TotalCost]]/Table1[[#This Row],[UnitsProduced]]</f>
        <v>114.33860045146727</v>
      </c>
    </row>
    <row r="21" spans="1:11" x14ac:dyDescent="0.3">
      <c r="A21">
        <v>20</v>
      </c>
      <c r="B21" s="1">
        <v>45254</v>
      </c>
      <c r="C21" t="s">
        <v>12</v>
      </c>
      <c r="D21" t="s">
        <v>24</v>
      </c>
      <c r="E21" t="s">
        <v>23</v>
      </c>
      <c r="F21">
        <v>331</v>
      </c>
      <c r="G21">
        <v>27140</v>
      </c>
      <c r="H21" t="s">
        <v>18</v>
      </c>
      <c r="I21">
        <v>42</v>
      </c>
      <c r="J21" t="str">
        <f>IF(Table1[[#This Row],[True Age]]&lt;=35,"Young",IF(Table1[[#This Row],[True Age]]&lt;=45,"Senior","Super Senior"))</f>
        <v>Senior</v>
      </c>
      <c r="K21" s="3">
        <f>Table1[[#This Row],[TotalCost]]/Table1[[#This Row],[UnitsProduced]]</f>
        <v>81.993957703927492</v>
      </c>
    </row>
    <row r="22" spans="1:11" x14ac:dyDescent="0.3">
      <c r="A22">
        <v>21</v>
      </c>
      <c r="B22" s="1">
        <v>45304</v>
      </c>
      <c r="C22" t="s">
        <v>8</v>
      </c>
      <c r="D22" t="s">
        <v>24</v>
      </c>
      <c r="E22" t="s">
        <v>17</v>
      </c>
      <c r="F22">
        <v>250</v>
      </c>
      <c r="G22">
        <v>11385</v>
      </c>
      <c r="H22" t="s">
        <v>18</v>
      </c>
      <c r="I22">
        <v>42</v>
      </c>
      <c r="J22" t="str">
        <f>IF(Table1[[#This Row],[True Age]]&lt;=35,"Young",IF(Table1[[#This Row],[True Age]]&lt;=45,"Senior","Super Senior"))</f>
        <v>Senior</v>
      </c>
      <c r="K22" s="3">
        <f>Table1[[#This Row],[TotalCost]]/Table1[[#This Row],[UnitsProduced]]</f>
        <v>45.54</v>
      </c>
    </row>
    <row r="23" spans="1:11" x14ac:dyDescent="0.3">
      <c r="A23">
        <v>22</v>
      </c>
      <c r="B23" s="1">
        <v>45294</v>
      </c>
      <c r="C23" t="s">
        <v>12</v>
      </c>
      <c r="D23" t="s">
        <v>26</v>
      </c>
      <c r="E23" t="s">
        <v>17</v>
      </c>
      <c r="F23">
        <v>180</v>
      </c>
      <c r="G23">
        <v>33684</v>
      </c>
      <c r="H23" t="s">
        <v>11</v>
      </c>
      <c r="I23">
        <v>49</v>
      </c>
      <c r="J23" t="str">
        <f>IF(Table1[[#This Row],[True Age]]&lt;=35,"Young",IF(Table1[[#This Row],[True Age]]&lt;=45,"Senior","Super Senior"))</f>
        <v>Super Senior</v>
      </c>
      <c r="K23" s="3">
        <f>Table1[[#This Row],[TotalCost]]/Table1[[#This Row],[UnitsProduced]]</f>
        <v>187.13333333333333</v>
      </c>
    </row>
    <row r="24" spans="1:11" x14ac:dyDescent="0.3">
      <c r="A24">
        <v>23</v>
      </c>
      <c r="B24" s="1">
        <v>45520</v>
      </c>
      <c r="C24" t="s">
        <v>15</v>
      </c>
      <c r="D24" t="s">
        <v>21</v>
      </c>
      <c r="E24" t="s">
        <v>10</v>
      </c>
      <c r="F24">
        <v>90</v>
      </c>
      <c r="G24">
        <v>42328</v>
      </c>
      <c r="H24" t="s">
        <v>11</v>
      </c>
      <c r="I24">
        <v>28</v>
      </c>
      <c r="J24" t="str">
        <f>IF(Table1[[#This Row],[True Age]]&lt;=35,"Young",IF(Table1[[#This Row],[True Age]]&lt;=45,"Senior","Super Senior"))</f>
        <v>Young</v>
      </c>
      <c r="K24" s="3">
        <f>Table1[[#This Row],[TotalCost]]/Table1[[#This Row],[UnitsProduced]]</f>
        <v>470.31111111111113</v>
      </c>
    </row>
    <row r="25" spans="1:11" x14ac:dyDescent="0.3">
      <c r="A25">
        <v>24</v>
      </c>
      <c r="B25" s="1">
        <v>45296</v>
      </c>
      <c r="C25" t="s">
        <v>8</v>
      </c>
      <c r="D25" t="s">
        <v>19</v>
      </c>
      <c r="E25" t="s">
        <v>17</v>
      </c>
      <c r="F25">
        <v>458</v>
      </c>
      <c r="G25">
        <v>42873</v>
      </c>
      <c r="H25" t="s">
        <v>11</v>
      </c>
      <c r="I25">
        <v>57</v>
      </c>
      <c r="J25" t="str">
        <f>IF(Table1[[#This Row],[True Age]]&lt;=35,"Young",IF(Table1[[#This Row],[True Age]]&lt;=45,"Senior","Super Senior"))</f>
        <v>Super Senior</v>
      </c>
      <c r="K25" s="3">
        <f>Table1[[#This Row],[TotalCost]]/Table1[[#This Row],[UnitsProduced]]</f>
        <v>93.609170305676855</v>
      </c>
    </row>
    <row r="26" spans="1:11" x14ac:dyDescent="0.3">
      <c r="A26">
        <v>25</v>
      </c>
      <c r="B26" s="1">
        <v>45235</v>
      </c>
      <c r="C26" t="s">
        <v>12</v>
      </c>
      <c r="D26" t="s">
        <v>20</v>
      </c>
      <c r="E26" t="s">
        <v>10</v>
      </c>
      <c r="F26">
        <v>439</v>
      </c>
      <c r="G26">
        <v>31392</v>
      </c>
      <c r="H26" t="s">
        <v>18</v>
      </c>
      <c r="I26">
        <v>26</v>
      </c>
      <c r="J26" t="str">
        <f>IF(Table1[[#This Row],[True Age]]&lt;=35,"Young",IF(Table1[[#This Row],[True Age]]&lt;=45,"Senior","Super Senior"))</f>
        <v>Young</v>
      </c>
      <c r="K26" s="3">
        <f>Table1[[#This Row],[TotalCost]]/Table1[[#This Row],[UnitsProduced]]</f>
        <v>71.50797266514806</v>
      </c>
    </row>
    <row r="27" spans="1:11" x14ac:dyDescent="0.3">
      <c r="A27">
        <v>26</v>
      </c>
      <c r="B27" s="1">
        <v>45530</v>
      </c>
      <c r="C27" t="s">
        <v>12</v>
      </c>
      <c r="D27" t="s">
        <v>24</v>
      </c>
      <c r="E27" t="s">
        <v>10</v>
      </c>
      <c r="F27">
        <v>406</v>
      </c>
      <c r="G27">
        <v>47880</v>
      </c>
      <c r="H27" t="s">
        <v>18</v>
      </c>
      <c r="I27">
        <v>42</v>
      </c>
      <c r="J27" t="str">
        <f>IF(Table1[[#This Row],[True Age]]&lt;=35,"Young",IF(Table1[[#This Row],[True Age]]&lt;=45,"Senior","Super Senior"))</f>
        <v>Senior</v>
      </c>
      <c r="K27" s="3">
        <f>Table1[[#This Row],[TotalCost]]/Table1[[#This Row],[UnitsProduced]]</f>
        <v>117.93103448275862</v>
      </c>
    </row>
    <row r="28" spans="1:11" x14ac:dyDescent="0.3">
      <c r="A28">
        <v>27</v>
      </c>
      <c r="B28" s="1">
        <v>45511</v>
      </c>
      <c r="C28" t="s">
        <v>12</v>
      </c>
      <c r="D28" t="s">
        <v>24</v>
      </c>
      <c r="E28" t="s">
        <v>23</v>
      </c>
      <c r="F28">
        <v>422</v>
      </c>
      <c r="G28">
        <v>13490</v>
      </c>
      <c r="H28" t="s">
        <v>11</v>
      </c>
      <c r="I28">
        <v>42</v>
      </c>
      <c r="J28" t="str">
        <f>IF(Table1[[#This Row],[True Age]]&lt;=35,"Young",IF(Table1[[#This Row],[True Age]]&lt;=45,"Senior","Super Senior"))</f>
        <v>Senior</v>
      </c>
      <c r="K28" s="3">
        <f>Table1[[#This Row],[TotalCost]]/Table1[[#This Row],[UnitsProduced]]</f>
        <v>31.966824644549764</v>
      </c>
    </row>
    <row r="29" spans="1:11" x14ac:dyDescent="0.3">
      <c r="A29">
        <v>28</v>
      </c>
      <c r="B29" s="1">
        <v>45286</v>
      </c>
      <c r="C29" t="s">
        <v>12</v>
      </c>
      <c r="D29" t="s">
        <v>19</v>
      </c>
      <c r="E29" t="s">
        <v>10</v>
      </c>
      <c r="F29">
        <v>444</v>
      </c>
      <c r="G29">
        <v>7272</v>
      </c>
      <c r="H29" t="s">
        <v>18</v>
      </c>
      <c r="I29">
        <v>57</v>
      </c>
      <c r="J29" t="str">
        <f>IF(Table1[[#This Row],[True Age]]&lt;=35,"Young",IF(Table1[[#This Row],[True Age]]&lt;=45,"Senior","Super Senior"))</f>
        <v>Super Senior</v>
      </c>
      <c r="K29" s="3">
        <f>Table1[[#This Row],[TotalCost]]/Table1[[#This Row],[UnitsProduced]]</f>
        <v>16.378378378378379</v>
      </c>
    </row>
    <row r="30" spans="1:11" x14ac:dyDescent="0.3">
      <c r="A30">
        <v>29</v>
      </c>
      <c r="B30" s="1">
        <v>45339</v>
      </c>
      <c r="C30" t="s">
        <v>12</v>
      </c>
      <c r="D30" t="s">
        <v>24</v>
      </c>
      <c r="E30" t="s">
        <v>23</v>
      </c>
      <c r="F30">
        <v>499</v>
      </c>
      <c r="G30">
        <v>48316</v>
      </c>
      <c r="H30" t="s">
        <v>11</v>
      </c>
      <c r="I30">
        <v>42</v>
      </c>
      <c r="J30" t="str">
        <f>IF(Table1[[#This Row],[True Age]]&lt;=35,"Young",IF(Table1[[#This Row],[True Age]]&lt;=45,"Senior","Super Senior"))</f>
        <v>Senior</v>
      </c>
      <c r="K30" s="3">
        <f>Table1[[#This Row],[TotalCost]]/Table1[[#This Row],[UnitsProduced]]</f>
        <v>96.825651302605209</v>
      </c>
    </row>
    <row r="31" spans="1:11" x14ac:dyDescent="0.3">
      <c r="A31">
        <v>30</v>
      </c>
      <c r="B31" s="1">
        <v>45200</v>
      </c>
      <c r="C31" t="s">
        <v>12</v>
      </c>
      <c r="D31" t="s">
        <v>25</v>
      </c>
      <c r="E31" t="s">
        <v>10</v>
      </c>
      <c r="F31">
        <v>290</v>
      </c>
      <c r="G31">
        <v>15132</v>
      </c>
      <c r="H31" t="s">
        <v>28</v>
      </c>
      <c r="I31">
        <v>25</v>
      </c>
      <c r="J31" t="str">
        <f>IF(Table1[[#This Row],[True Age]]&lt;=35,"Young",IF(Table1[[#This Row],[True Age]]&lt;=45,"Senior","Super Senior"))</f>
        <v>Young</v>
      </c>
      <c r="K31" s="3">
        <f>Table1[[#This Row],[TotalCost]]/Table1[[#This Row],[UnitsProduced]]</f>
        <v>52.179310344827584</v>
      </c>
    </row>
    <row r="32" spans="1:11" x14ac:dyDescent="0.3">
      <c r="A32">
        <v>31</v>
      </c>
      <c r="B32" s="1">
        <v>45543</v>
      </c>
      <c r="C32" t="s">
        <v>15</v>
      </c>
      <c r="D32" t="s">
        <v>24</v>
      </c>
      <c r="E32" t="s">
        <v>23</v>
      </c>
      <c r="F32">
        <v>369</v>
      </c>
      <c r="G32">
        <v>5246</v>
      </c>
      <c r="H32" t="s">
        <v>18</v>
      </c>
      <c r="I32">
        <v>42</v>
      </c>
      <c r="J32" t="str">
        <f>IF(Table1[[#This Row],[True Age]]&lt;=35,"Young",IF(Table1[[#This Row],[True Age]]&lt;=45,"Senior","Super Senior"))</f>
        <v>Senior</v>
      </c>
      <c r="K32" s="3">
        <f>Table1[[#This Row],[TotalCost]]/Table1[[#This Row],[UnitsProduced]]</f>
        <v>14.21680216802168</v>
      </c>
    </row>
    <row r="33" spans="1:11" x14ac:dyDescent="0.3">
      <c r="A33">
        <v>32</v>
      </c>
      <c r="B33" s="1">
        <v>45371</v>
      </c>
      <c r="C33" t="s">
        <v>27</v>
      </c>
      <c r="D33" t="s">
        <v>24</v>
      </c>
      <c r="E33" t="s">
        <v>10</v>
      </c>
      <c r="F33">
        <v>389</v>
      </c>
      <c r="G33">
        <v>37744</v>
      </c>
      <c r="H33" t="s">
        <v>18</v>
      </c>
      <c r="I33">
        <v>42</v>
      </c>
      <c r="J33" t="str">
        <f>IF(Table1[[#This Row],[True Age]]&lt;=35,"Young",IF(Table1[[#This Row],[True Age]]&lt;=45,"Senior","Super Senior"))</f>
        <v>Senior</v>
      </c>
      <c r="K33" s="3">
        <f>Table1[[#This Row],[TotalCost]]/Table1[[#This Row],[UnitsProduced]]</f>
        <v>97.028277634961441</v>
      </c>
    </row>
    <row r="34" spans="1:11" x14ac:dyDescent="0.3">
      <c r="A34">
        <v>33</v>
      </c>
      <c r="B34" s="1">
        <v>45422</v>
      </c>
      <c r="C34" t="s">
        <v>27</v>
      </c>
      <c r="D34" t="s">
        <v>25</v>
      </c>
      <c r="E34" t="s">
        <v>23</v>
      </c>
      <c r="F34">
        <v>511</v>
      </c>
      <c r="G34">
        <v>679</v>
      </c>
      <c r="H34" t="s">
        <v>11</v>
      </c>
      <c r="I34">
        <v>25</v>
      </c>
      <c r="J34" t="str">
        <f>IF(Table1[[#This Row],[True Age]]&lt;=35,"Young",IF(Table1[[#This Row],[True Age]]&lt;=45,"Senior","Super Senior"))</f>
        <v>Young</v>
      </c>
      <c r="K34" s="3">
        <f>Table1[[#This Row],[TotalCost]]/Table1[[#This Row],[UnitsProduced]]</f>
        <v>1.3287671232876712</v>
      </c>
    </row>
    <row r="35" spans="1:11" x14ac:dyDescent="0.3">
      <c r="A35">
        <v>34</v>
      </c>
      <c r="B35" s="1">
        <v>45251</v>
      </c>
      <c r="C35" t="s">
        <v>12</v>
      </c>
      <c r="D35" t="s">
        <v>22</v>
      </c>
      <c r="E35" t="s">
        <v>17</v>
      </c>
      <c r="F35">
        <v>333</v>
      </c>
      <c r="G35">
        <v>48000</v>
      </c>
      <c r="H35" t="s">
        <v>11</v>
      </c>
      <c r="I35">
        <v>28</v>
      </c>
      <c r="J35" t="str">
        <f>IF(Table1[[#This Row],[True Age]]&lt;=35,"Young",IF(Table1[[#This Row],[True Age]]&lt;=45,"Senior","Super Senior"))</f>
        <v>Young</v>
      </c>
      <c r="K35" s="3">
        <f>Table1[[#This Row],[TotalCost]]/Table1[[#This Row],[UnitsProduced]]</f>
        <v>144.14414414414415</v>
      </c>
    </row>
    <row r="36" spans="1:11" x14ac:dyDescent="0.3">
      <c r="A36">
        <v>35</v>
      </c>
      <c r="B36" s="1">
        <v>45214</v>
      </c>
      <c r="C36" t="s">
        <v>12</v>
      </c>
      <c r="D36" t="s">
        <v>13</v>
      </c>
      <c r="E36" t="s">
        <v>17</v>
      </c>
      <c r="F36">
        <v>260</v>
      </c>
      <c r="G36">
        <v>34680</v>
      </c>
      <c r="H36" t="s">
        <v>18</v>
      </c>
      <c r="I36">
        <v>52</v>
      </c>
      <c r="J36" t="str">
        <f>IF(Table1[[#This Row],[True Age]]&lt;=35,"Young",IF(Table1[[#This Row],[True Age]]&lt;=45,"Senior","Super Senior"))</f>
        <v>Super Senior</v>
      </c>
      <c r="K36" s="3">
        <f>Table1[[#This Row],[TotalCost]]/Table1[[#This Row],[UnitsProduced]]</f>
        <v>133.38461538461539</v>
      </c>
    </row>
    <row r="37" spans="1:11" x14ac:dyDescent="0.3">
      <c r="A37">
        <v>36</v>
      </c>
      <c r="B37" s="1">
        <v>45230</v>
      </c>
      <c r="C37" t="s">
        <v>12</v>
      </c>
      <c r="D37" t="s">
        <v>20</v>
      </c>
      <c r="E37" t="s">
        <v>17</v>
      </c>
      <c r="F37">
        <v>460</v>
      </c>
      <c r="G37">
        <v>50274</v>
      </c>
      <c r="H37" t="s">
        <v>18</v>
      </c>
      <c r="I37">
        <v>26</v>
      </c>
      <c r="J37" t="str">
        <f>IF(Table1[[#This Row],[True Age]]&lt;=35,"Young",IF(Table1[[#This Row],[True Age]]&lt;=45,"Senior","Super Senior"))</f>
        <v>Young</v>
      </c>
      <c r="K37" s="3">
        <f>Table1[[#This Row],[TotalCost]]/Table1[[#This Row],[UnitsProduced]]</f>
        <v>109.29130434782608</v>
      </c>
    </row>
    <row r="38" spans="1:11" x14ac:dyDescent="0.3">
      <c r="A38">
        <v>37</v>
      </c>
      <c r="B38" s="1">
        <v>45377</v>
      </c>
      <c r="C38" t="s">
        <v>15</v>
      </c>
      <c r="D38" t="s">
        <v>26</v>
      </c>
      <c r="E38" t="s">
        <v>10</v>
      </c>
      <c r="F38">
        <v>145</v>
      </c>
      <c r="G38">
        <v>43615</v>
      </c>
      <c r="H38" t="s">
        <v>18</v>
      </c>
      <c r="I38">
        <v>49</v>
      </c>
      <c r="J38" t="str">
        <f>IF(Table1[[#This Row],[True Age]]&lt;=35,"Young",IF(Table1[[#This Row],[True Age]]&lt;=45,"Senior","Super Senior"))</f>
        <v>Super Senior</v>
      </c>
      <c r="K38" s="3">
        <f>Table1[[#This Row],[TotalCost]]/Table1[[#This Row],[UnitsProduced]]</f>
        <v>300.79310344827587</v>
      </c>
    </row>
    <row r="39" spans="1:11" x14ac:dyDescent="0.3">
      <c r="A39">
        <v>38</v>
      </c>
      <c r="B39" s="1">
        <v>45467</v>
      </c>
      <c r="C39" t="s">
        <v>12</v>
      </c>
      <c r="D39" t="s">
        <v>24</v>
      </c>
      <c r="E39" t="s">
        <v>23</v>
      </c>
      <c r="F39">
        <v>115</v>
      </c>
      <c r="G39">
        <v>14076</v>
      </c>
      <c r="H39" t="s">
        <v>11</v>
      </c>
      <c r="I39">
        <v>42</v>
      </c>
      <c r="J39" t="str">
        <f>IF(Table1[[#This Row],[True Age]]&lt;=35,"Young",IF(Table1[[#This Row],[True Age]]&lt;=45,"Senior","Super Senior"))</f>
        <v>Senior</v>
      </c>
      <c r="K39" s="3">
        <f>Table1[[#This Row],[TotalCost]]/Table1[[#This Row],[UnitsProduced]]</f>
        <v>122.4</v>
      </c>
    </row>
    <row r="40" spans="1:11" x14ac:dyDescent="0.3">
      <c r="A40">
        <v>39</v>
      </c>
      <c r="B40" s="1">
        <v>45489</v>
      </c>
      <c r="C40" t="s">
        <v>15</v>
      </c>
      <c r="D40" t="s">
        <v>16</v>
      </c>
      <c r="E40" t="s">
        <v>10</v>
      </c>
      <c r="F40">
        <v>248</v>
      </c>
      <c r="G40">
        <v>12870</v>
      </c>
      <c r="H40" t="s">
        <v>11</v>
      </c>
      <c r="I40">
        <v>36</v>
      </c>
      <c r="J40" t="str">
        <f>IF(Table1[[#This Row],[True Age]]&lt;=35,"Young",IF(Table1[[#This Row],[True Age]]&lt;=45,"Senior","Super Senior"))</f>
        <v>Senior</v>
      </c>
      <c r="K40" s="3">
        <f>Table1[[#This Row],[TotalCost]]/Table1[[#This Row],[UnitsProduced]]</f>
        <v>51.895161290322584</v>
      </c>
    </row>
    <row r="41" spans="1:11" x14ac:dyDescent="0.3">
      <c r="A41">
        <v>40</v>
      </c>
      <c r="B41" s="1">
        <v>45221</v>
      </c>
      <c r="C41" t="s">
        <v>27</v>
      </c>
      <c r="D41" t="s">
        <v>13</v>
      </c>
      <c r="E41" t="s">
        <v>10</v>
      </c>
      <c r="F41">
        <v>165</v>
      </c>
      <c r="G41">
        <v>679</v>
      </c>
      <c r="H41" t="s">
        <v>18</v>
      </c>
      <c r="I41">
        <v>52</v>
      </c>
      <c r="J41" t="str">
        <f>IF(Table1[[#This Row],[True Age]]&lt;=35,"Young",IF(Table1[[#This Row],[True Age]]&lt;=45,"Senior","Super Senior"))</f>
        <v>Super Senior</v>
      </c>
      <c r="K41" s="3">
        <f>Table1[[#This Row],[TotalCost]]/Table1[[#This Row],[UnitsProduced]]</f>
        <v>4.1151515151515152</v>
      </c>
    </row>
    <row r="42" spans="1:11" x14ac:dyDescent="0.3">
      <c r="A42">
        <v>41</v>
      </c>
      <c r="B42" s="1">
        <v>45407</v>
      </c>
      <c r="C42" t="s">
        <v>12</v>
      </c>
      <c r="D42" t="s">
        <v>24</v>
      </c>
      <c r="E42" t="s">
        <v>14</v>
      </c>
      <c r="F42">
        <v>51</v>
      </c>
      <c r="G42">
        <v>35280</v>
      </c>
      <c r="H42" t="s">
        <v>18</v>
      </c>
      <c r="I42">
        <v>42</v>
      </c>
      <c r="J42" t="str">
        <f>IF(Table1[[#This Row],[True Age]]&lt;=35,"Young",IF(Table1[[#This Row],[True Age]]&lt;=45,"Senior","Super Senior"))</f>
        <v>Senior</v>
      </c>
      <c r="K42" s="3">
        <f>Table1[[#This Row],[TotalCost]]/Table1[[#This Row],[UnitsProduced]]</f>
        <v>691.76470588235293</v>
      </c>
    </row>
    <row r="43" spans="1:11" x14ac:dyDescent="0.3">
      <c r="A43">
        <v>42</v>
      </c>
      <c r="B43" s="1">
        <v>45424</v>
      </c>
      <c r="C43" t="s">
        <v>15</v>
      </c>
      <c r="D43" t="s">
        <v>24</v>
      </c>
      <c r="E43" t="s">
        <v>10</v>
      </c>
      <c r="F43">
        <v>382</v>
      </c>
      <c r="G43">
        <v>37490</v>
      </c>
      <c r="H43" t="s">
        <v>18</v>
      </c>
      <c r="I43">
        <v>42</v>
      </c>
      <c r="J43" t="str">
        <f>IF(Table1[[#This Row],[True Age]]&lt;=35,"Young",IF(Table1[[#This Row],[True Age]]&lt;=45,"Senior","Super Senior"))</f>
        <v>Senior</v>
      </c>
      <c r="K43" s="3">
        <f>Table1[[#This Row],[TotalCost]]/Table1[[#This Row],[UnitsProduced]]</f>
        <v>98.141361256544499</v>
      </c>
    </row>
    <row r="44" spans="1:11" x14ac:dyDescent="0.3">
      <c r="A44">
        <v>43</v>
      </c>
      <c r="B44" s="1">
        <v>45252</v>
      </c>
      <c r="C44" t="s">
        <v>15</v>
      </c>
      <c r="D44" t="s">
        <v>24</v>
      </c>
      <c r="E44" t="s">
        <v>10</v>
      </c>
      <c r="F44">
        <v>354</v>
      </c>
      <c r="G44">
        <v>679</v>
      </c>
      <c r="H44" t="s">
        <v>18</v>
      </c>
      <c r="I44">
        <v>42</v>
      </c>
      <c r="J44" t="str">
        <f>IF(Table1[[#This Row],[True Age]]&lt;=35,"Young",IF(Table1[[#This Row],[True Age]]&lt;=45,"Senior","Super Senior"))</f>
        <v>Senior</v>
      </c>
      <c r="K44" s="3">
        <f>Table1[[#This Row],[TotalCost]]/Table1[[#This Row],[UnitsProduced]]</f>
        <v>1.9180790960451977</v>
      </c>
    </row>
    <row r="45" spans="1:11" x14ac:dyDescent="0.3">
      <c r="A45">
        <v>44</v>
      </c>
      <c r="B45" s="1">
        <v>45451</v>
      </c>
      <c r="C45" t="s">
        <v>27</v>
      </c>
      <c r="D45" t="s">
        <v>13</v>
      </c>
      <c r="E45" t="s">
        <v>14</v>
      </c>
      <c r="F45">
        <v>368</v>
      </c>
      <c r="G45">
        <v>46068</v>
      </c>
      <c r="H45" t="s">
        <v>11</v>
      </c>
      <c r="I45">
        <v>52</v>
      </c>
      <c r="J45" t="str">
        <f>IF(Table1[[#This Row],[True Age]]&lt;=35,"Young",IF(Table1[[#This Row],[True Age]]&lt;=45,"Senior","Super Senior"))</f>
        <v>Super Senior</v>
      </c>
      <c r="K45" s="3">
        <f>Table1[[#This Row],[TotalCost]]/Table1[[#This Row],[UnitsProduced]]</f>
        <v>125.18478260869566</v>
      </c>
    </row>
    <row r="46" spans="1:11" x14ac:dyDescent="0.3">
      <c r="A46">
        <v>45</v>
      </c>
      <c r="B46" s="1">
        <v>45458</v>
      </c>
      <c r="C46" t="s">
        <v>12</v>
      </c>
      <c r="D46" t="s">
        <v>16</v>
      </c>
      <c r="E46" t="s">
        <v>23</v>
      </c>
      <c r="F46">
        <v>79</v>
      </c>
      <c r="G46">
        <v>11078</v>
      </c>
      <c r="H46" t="s">
        <v>11</v>
      </c>
      <c r="I46">
        <v>36</v>
      </c>
      <c r="J46" t="str">
        <f>IF(Table1[[#This Row],[True Age]]&lt;=35,"Young",IF(Table1[[#This Row],[True Age]]&lt;=45,"Senior","Super Senior"))</f>
        <v>Senior</v>
      </c>
      <c r="K46" s="3">
        <f>Table1[[#This Row],[TotalCost]]/Table1[[#This Row],[UnitsProduced]]</f>
        <v>140.22784810126583</v>
      </c>
    </row>
    <row r="47" spans="1:11" x14ac:dyDescent="0.3">
      <c r="A47">
        <v>46</v>
      </c>
      <c r="B47" s="1">
        <v>45207</v>
      </c>
      <c r="C47" t="s">
        <v>12</v>
      </c>
      <c r="D47" t="s">
        <v>21</v>
      </c>
      <c r="E47" t="s">
        <v>10</v>
      </c>
      <c r="F47">
        <v>231</v>
      </c>
      <c r="G47">
        <v>32045</v>
      </c>
      <c r="H47" t="s">
        <v>11</v>
      </c>
      <c r="I47">
        <v>28</v>
      </c>
      <c r="J47" t="str">
        <f>IF(Table1[[#This Row],[True Age]]&lt;=35,"Young",IF(Table1[[#This Row],[True Age]]&lt;=45,"Senior","Super Senior"))</f>
        <v>Young</v>
      </c>
      <c r="K47" s="3">
        <f>Table1[[#This Row],[TotalCost]]/Table1[[#This Row],[UnitsProduced]]</f>
        <v>138.72294372294371</v>
      </c>
    </row>
    <row r="48" spans="1:11" x14ac:dyDescent="0.3">
      <c r="A48">
        <v>47</v>
      </c>
      <c r="B48" s="1">
        <v>45228</v>
      </c>
      <c r="C48" t="s">
        <v>27</v>
      </c>
      <c r="D48" t="s">
        <v>19</v>
      </c>
      <c r="E48" t="s">
        <v>10</v>
      </c>
      <c r="F48">
        <v>288</v>
      </c>
      <c r="G48">
        <v>33284</v>
      </c>
      <c r="H48" t="s">
        <v>11</v>
      </c>
      <c r="I48">
        <v>57</v>
      </c>
      <c r="J48" t="str">
        <f>IF(Table1[[#This Row],[True Age]]&lt;=35,"Young",IF(Table1[[#This Row],[True Age]]&lt;=45,"Senior","Super Senior"))</f>
        <v>Super Senior</v>
      </c>
      <c r="K48" s="3">
        <f>Table1[[#This Row],[TotalCost]]/Table1[[#This Row],[UnitsProduced]]</f>
        <v>115.56944444444444</v>
      </c>
    </row>
    <row r="49" spans="1:11" x14ac:dyDescent="0.3">
      <c r="A49">
        <v>48</v>
      </c>
      <c r="B49" s="1">
        <v>45191</v>
      </c>
      <c r="C49" t="s">
        <v>15</v>
      </c>
      <c r="D49" t="s">
        <v>20</v>
      </c>
      <c r="E49" t="s">
        <v>23</v>
      </c>
      <c r="F49">
        <v>214</v>
      </c>
      <c r="G49">
        <v>11954</v>
      </c>
      <c r="H49" t="s">
        <v>11</v>
      </c>
      <c r="I49">
        <v>26</v>
      </c>
      <c r="J49" t="str">
        <f>IF(Table1[[#This Row],[True Age]]&lt;=35,"Young",IF(Table1[[#This Row],[True Age]]&lt;=45,"Senior","Super Senior"))</f>
        <v>Young</v>
      </c>
      <c r="K49" s="3">
        <f>Table1[[#This Row],[TotalCost]]/Table1[[#This Row],[UnitsProduced]]</f>
        <v>55.859813084112147</v>
      </c>
    </row>
    <row r="50" spans="1:11" x14ac:dyDescent="0.3">
      <c r="A50">
        <v>49</v>
      </c>
      <c r="B50" s="1">
        <v>45350</v>
      </c>
      <c r="C50" t="s">
        <v>8</v>
      </c>
      <c r="D50" t="s">
        <v>20</v>
      </c>
      <c r="E50" t="s">
        <v>17</v>
      </c>
      <c r="F50">
        <v>74</v>
      </c>
      <c r="G50">
        <v>36708</v>
      </c>
      <c r="H50" t="s">
        <v>18</v>
      </c>
      <c r="I50">
        <v>26</v>
      </c>
      <c r="J50" t="str">
        <f>IF(Table1[[#This Row],[True Age]]&lt;=35,"Young",IF(Table1[[#This Row],[True Age]]&lt;=45,"Senior","Super Senior"))</f>
        <v>Young</v>
      </c>
      <c r="K50" s="3">
        <f>Table1[[#This Row],[TotalCost]]/Table1[[#This Row],[UnitsProduced]]</f>
        <v>496.05405405405406</v>
      </c>
    </row>
    <row r="51" spans="1:11" x14ac:dyDescent="0.3">
      <c r="A51">
        <v>50</v>
      </c>
      <c r="B51" s="1">
        <v>45234</v>
      </c>
      <c r="C51" t="s">
        <v>15</v>
      </c>
      <c r="D51" t="s">
        <v>9</v>
      </c>
      <c r="E51" t="s">
        <v>14</v>
      </c>
      <c r="F51">
        <v>177</v>
      </c>
      <c r="G51">
        <v>30600</v>
      </c>
      <c r="H51" t="s">
        <v>18</v>
      </c>
      <c r="I51">
        <v>25</v>
      </c>
      <c r="J51" t="str">
        <f>IF(Table1[[#This Row],[True Age]]&lt;=35,"Young",IF(Table1[[#This Row],[True Age]]&lt;=45,"Senior","Super Senior"))</f>
        <v>Young</v>
      </c>
      <c r="K51" s="3">
        <f>Table1[[#This Row],[TotalCost]]/Table1[[#This Row],[UnitsProduced]]</f>
        <v>172.88135593220338</v>
      </c>
    </row>
    <row r="52" spans="1:11" x14ac:dyDescent="0.3">
      <c r="A52">
        <v>51</v>
      </c>
      <c r="B52" s="1">
        <v>45364</v>
      </c>
      <c r="C52" t="s">
        <v>8</v>
      </c>
      <c r="D52" t="s">
        <v>19</v>
      </c>
      <c r="E52" t="s">
        <v>17</v>
      </c>
      <c r="F52">
        <v>358</v>
      </c>
      <c r="G52">
        <v>13568</v>
      </c>
      <c r="H52" t="s">
        <v>11</v>
      </c>
      <c r="I52">
        <v>57</v>
      </c>
      <c r="J52" t="str">
        <f>IF(Table1[[#This Row],[True Age]]&lt;=35,"Young",IF(Table1[[#This Row],[True Age]]&lt;=45,"Senior","Super Senior"))</f>
        <v>Super Senior</v>
      </c>
      <c r="K52" s="3">
        <f>Table1[[#This Row],[TotalCost]]/Table1[[#This Row],[UnitsProduced]]</f>
        <v>37.899441340782126</v>
      </c>
    </row>
    <row r="53" spans="1:11" x14ac:dyDescent="0.3">
      <c r="A53">
        <v>52</v>
      </c>
      <c r="B53" s="1">
        <v>45350</v>
      </c>
      <c r="C53" t="s">
        <v>8</v>
      </c>
      <c r="D53" t="s">
        <v>24</v>
      </c>
      <c r="E53" t="s">
        <v>17</v>
      </c>
      <c r="F53">
        <v>343</v>
      </c>
      <c r="G53">
        <v>33344</v>
      </c>
      <c r="H53" t="s">
        <v>18</v>
      </c>
      <c r="I53">
        <v>42</v>
      </c>
      <c r="J53" t="str">
        <f>IF(Table1[[#This Row],[True Age]]&lt;=35,"Young",IF(Table1[[#This Row],[True Age]]&lt;=45,"Senior","Super Senior"))</f>
        <v>Senior</v>
      </c>
      <c r="K53" s="3">
        <f>Table1[[#This Row],[TotalCost]]/Table1[[#This Row],[UnitsProduced]]</f>
        <v>97.212827988338191</v>
      </c>
    </row>
    <row r="54" spans="1:11" x14ac:dyDescent="0.3">
      <c r="A54">
        <v>53</v>
      </c>
      <c r="B54" s="1">
        <v>45216</v>
      </c>
      <c r="C54" t="s">
        <v>27</v>
      </c>
      <c r="D54" t="s">
        <v>24</v>
      </c>
      <c r="E54" t="s">
        <v>17</v>
      </c>
      <c r="F54">
        <v>63</v>
      </c>
      <c r="G54">
        <v>3960</v>
      </c>
      <c r="H54" t="s">
        <v>18</v>
      </c>
      <c r="I54">
        <v>42</v>
      </c>
      <c r="J54" t="str">
        <f>IF(Table1[[#This Row],[True Age]]&lt;=35,"Young",IF(Table1[[#This Row],[True Age]]&lt;=45,"Senior","Super Senior"))</f>
        <v>Senior</v>
      </c>
      <c r="K54" s="3">
        <f>Table1[[#This Row],[TotalCost]]/Table1[[#This Row],[UnitsProduced]]</f>
        <v>62.857142857142854</v>
      </c>
    </row>
    <row r="55" spans="1:11" x14ac:dyDescent="0.3">
      <c r="A55">
        <v>54</v>
      </c>
      <c r="B55" s="1">
        <v>45510</v>
      </c>
      <c r="C55" t="s">
        <v>12</v>
      </c>
      <c r="D55" t="s">
        <v>22</v>
      </c>
      <c r="E55" t="s">
        <v>10</v>
      </c>
      <c r="F55">
        <v>429</v>
      </c>
      <c r="G55">
        <v>58208</v>
      </c>
      <c r="H55" t="s">
        <v>18</v>
      </c>
      <c r="I55">
        <v>28</v>
      </c>
      <c r="J55" t="str">
        <f>IF(Table1[[#This Row],[True Age]]&lt;=35,"Young",IF(Table1[[#This Row],[True Age]]&lt;=45,"Senior","Super Senior"))</f>
        <v>Young</v>
      </c>
      <c r="K55" s="3">
        <f>Table1[[#This Row],[TotalCost]]/Table1[[#This Row],[UnitsProduced]]</f>
        <v>135.68298368298369</v>
      </c>
    </row>
    <row r="56" spans="1:11" x14ac:dyDescent="0.3">
      <c r="A56">
        <v>55</v>
      </c>
      <c r="B56" s="1">
        <v>45549</v>
      </c>
      <c r="C56" t="s">
        <v>8</v>
      </c>
      <c r="D56" t="s">
        <v>24</v>
      </c>
      <c r="E56" t="s">
        <v>14</v>
      </c>
      <c r="F56">
        <v>491</v>
      </c>
      <c r="G56">
        <v>59458</v>
      </c>
      <c r="H56" t="s">
        <v>18</v>
      </c>
      <c r="I56">
        <v>42</v>
      </c>
      <c r="J56" t="str">
        <f>IF(Table1[[#This Row],[True Age]]&lt;=35,"Young",IF(Table1[[#This Row],[True Age]]&lt;=45,"Senior","Super Senior"))</f>
        <v>Senior</v>
      </c>
      <c r="K56" s="3">
        <f>Table1[[#This Row],[TotalCost]]/Table1[[#This Row],[UnitsProduced]]</f>
        <v>121.09572301425662</v>
      </c>
    </row>
    <row r="57" spans="1:11" x14ac:dyDescent="0.3">
      <c r="A57">
        <v>56</v>
      </c>
      <c r="B57" s="1">
        <v>45193</v>
      </c>
      <c r="C57" t="s">
        <v>12</v>
      </c>
      <c r="D57" t="s">
        <v>24</v>
      </c>
      <c r="E57" t="s">
        <v>10</v>
      </c>
      <c r="F57">
        <v>344</v>
      </c>
      <c r="G57">
        <v>13872</v>
      </c>
      <c r="H57" t="s">
        <v>11</v>
      </c>
      <c r="I57">
        <v>42</v>
      </c>
      <c r="J57" t="str">
        <f>IF(Table1[[#This Row],[True Age]]&lt;=35,"Young",IF(Table1[[#This Row],[True Age]]&lt;=45,"Senior","Super Senior"))</f>
        <v>Senior</v>
      </c>
      <c r="K57" s="3">
        <f>Table1[[#This Row],[TotalCost]]/Table1[[#This Row],[UnitsProduced]]</f>
        <v>40.325581395348834</v>
      </c>
    </row>
    <row r="58" spans="1:11" x14ac:dyDescent="0.3">
      <c r="A58">
        <v>57</v>
      </c>
      <c r="B58" s="1">
        <v>45296</v>
      </c>
      <c r="C58" t="s">
        <v>12</v>
      </c>
      <c r="D58" t="s">
        <v>9</v>
      </c>
      <c r="E58" t="s">
        <v>14</v>
      </c>
      <c r="F58">
        <v>255</v>
      </c>
      <c r="G58">
        <v>57706</v>
      </c>
      <c r="H58" t="s">
        <v>11</v>
      </c>
      <c r="I58">
        <v>25</v>
      </c>
      <c r="J58" t="str">
        <f>IF(Table1[[#This Row],[True Age]]&lt;=35,"Young",IF(Table1[[#This Row],[True Age]]&lt;=45,"Senior","Super Senior"))</f>
        <v>Young</v>
      </c>
      <c r="K58" s="3">
        <f>Table1[[#This Row],[TotalCost]]/Table1[[#This Row],[UnitsProduced]]</f>
        <v>226.29803921568629</v>
      </c>
    </row>
    <row r="59" spans="1:11" x14ac:dyDescent="0.3">
      <c r="A59">
        <v>58</v>
      </c>
      <c r="B59" s="1">
        <v>45292</v>
      </c>
      <c r="C59" t="s">
        <v>8</v>
      </c>
      <c r="D59" t="s">
        <v>24</v>
      </c>
      <c r="E59" t="s">
        <v>10</v>
      </c>
      <c r="F59">
        <v>160</v>
      </c>
      <c r="G59">
        <v>59248</v>
      </c>
      <c r="H59" t="s">
        <v>11</v>
      </c>
      <c r="I59">
        <v>42</v>
      </c>
      <c r="J59" t="str">
        <f>IF(Table1[[#This Row],[True Age]]&lt;=35,"Young",IF(Table1[[#This Row],[True Age]]&lt;=45,"Senior","Super Senior"))</f>
        <v>Senior</v>
      </c>
      <c r="K59" s="3">
        <f>Table1[[#This Row],[TotalCost]]/Table1[[#This Row],[UnitsProduced]]</f>
        <v>370.3</v>
      </c>
    </row>
    <row r="60" spans="1:11" x14ac:dyDescent="0.3">
      <c r="A60">
        <v>59</v>
      </c>
      <c r="B60" s="1">
        <v>45453</v>
      </c>
      <c r="C60" t="s">
        <v>15</v>
      </c>
      <c r="D60" t="s">
        <v>9</v>
      </c>
      <c r="E60" t="s">
        <v>23</v>
      </c>
      <c r="F60">
        <v>322</v>
      </c>
      <c r="G60">
        <v>29440</v>
      </c>
      <c r="H60" t="s">
        <v>18</v>
      </c>
      <c r="I60">
        <v>25</v>
      </c>
      <c r="J60" t="str">
        <f>IF(Table1[[#This Row],[True Age]]&lt;=35,"Young",IF(Table1[[#This Row],[True Age]]&lt;=45,"Senior","Super Senior"))</f>
        <v>Young</v>
      </c>
      <c r="K60" s="3">
        <f>Table1[[#This Row],[TotalCost]]/Table1[[#This Row],[UnitsProduced]]</f>
        <v>91.428571428571431</v>
      </c>
    </row>
    <row r="61" spans="1:11" x14ac:dyDescent="0.3">
      <c r="A61">
        <v>60</v>
      </c>
      <c r="B61" s="1">
        <v>45372</v>
      </c>
      <c r="C61" t="s">
        <v>15</v>
      </c>
      <c r="D61" t="s">
        <v>9</v>
      </c>
      <c r="E61" t="s">
        <v>17</v>
      </c>
      <c r="F61">
        <v>178</v>
      </c>
      <c r="G61">
        <v>679</v>
      </c>
      <c r="H61" t="s">
        <v>18</v>
      </c>
      <c r="I61">
        <v>25</v>
      </c>
      <c r="J61" t="str">
        <f>IF(Table1[[#This Row],[True Age]]&lt;=35,"Young",IF(Table1[[#This Row],[True Age]]&lt;=45,"Senior","Super Senior"))</f>
        <v>Young</v>
      </c>
      <c r="K61" s="3">
        <f>Table1[[#This Row],[TotalCost]]/Table1[[#This Row],[UnitsProduced]]</f>
        <v>3.8146067415730336</v>
      </c>
    </row>
    <row r="62" spans="1:11" x14ac:dyDescent="0.3">
      <c r="A62">
        <v>61</v>
      </c>
      <c r="B62" s="1">
        <v>45286</v>
      </c>
      <c r="C62" t="s">
        <v>12</v>
      </c>
      <c r="D62" t="s">
        <v>13</v>
      </c>
      <c r="E62" t="s">
        <v>10</v>
      </c>
      <c r="F62">
        <v>151</v>
      </c>
      <c r="G62">
        <v>8475</v>
      </c>
      <c r="H62" t="s">
        <v>11</v>
      </c>
      <c r="I62">
        <v>52</v>
      </c>
      <c r="J62" t="str">
        <f>IF(Table1[[#This Row],[True Age]]&lt;=35,"Young",IF(Table1[[#This Row],[True Age]]&lt;=45,"Senior","Super Senior"))</f>
        <v>Super Senior</v>
      </c>
      <c r="K62" s="3">
        <f>Table1[[#This Row],[TotalCost]]/Table1[[#This Row],[UnitsProduced]]</f>
        <v>56.12582781456954</v>
      </c>
    </row>
    <row r="63" spans="1:11" x14ac:dyDescent="0.3">
      <c r="A63">
        <v>62</v>
      </c>
      <c r="B63" s="1">
        <v>45350</v>
      </c>
      <c r="C63" t="s">
        <v>12</v>
      </c>
      <c r="D63" t="s">
        <v>19</v>
      </c>
      <c r="E63" t="s">
        <v>17</v>
      </c>
      <c r="F63">
        <v>535</v>
      </c>
      <c r="G63">
        <v>44330</v>
      </c>
      <c r="H63" t="s">
        <v>18</v>
      </c>
      <c r="I63">
        <v>57</v>
      </c>
      <c r="J63" t="str">
        <f>IF(Table1[[#This Row],[True Age]]&lt;=35,"Young",IF(Table1[[#This Row],[True Age]]&lt;=45,"Senior","Super Senior"))</f>
        <v>Super Senior</v>
      </c>
      <c r="K63" s="3">
        <f>Table1[[#This Row],[TotalCost]]/Table1[[#This Row],[UnitsProduced]]</f>
        <v>82.859813084112147</v>
      </c>
    </row>
    <row r="64" spans="1:11" x14ac:dyDescent="0.3">
      <c r="A64">
        <v>63</v>
      </c>
      <c r="B64" s="1">
        <v>45510</v>
      </c>
      <c r="C64" t="s">
        <v>27</v>
      </c>
      <c r="D64" t="s">
        <v>9</v>
      </c>
      <c r="E64" t="s">
        <v>10</v>
      </c>
      <c r="F64">
        <v>305</v>
      </c>
      <c r="G64">
        <v>3186</v>
      </c>
      <c r="H64" t="s">
        <v>11</v>
      </c>
      <c r="I64">
        <v>25</v>
      </c>
      <c r="J64" t="str">
        <f>IF(Table1[[#This Row],[True Age]]&lt;=35,"Young",IF(Table1[[#This Row],[True Age]]&lt;=45,"Senior","Super Senior"))</f>
        <v>Young</v>
      </c>
      <c r="K64" s="3">
        <f>Table1[[#This Row],[TotalCost]]/Table1[[#This Row],[UnitsProduced]]</f>
        <v>10.445901639344262</v>
      </c>
    </row>
    <row r="65" spans="1:11" x14ac:dyDescent="0.3">
      <c r="A65">
        <v>64</v>
      </c>
      <c r="B65" s="1">
        <v>45432</v>
      </c>
      <c r="C65" t="s">
        <v>12</v>
      </c>
      <c r="D65" t="s">
        <v>9</v>
      </c>
      <c r="E65" t="s">
        <v>23</v>
      </c>
      <c r="F65">
        <v>188</v>
      </c>
      <c r="G65">
        <v>679</v>
      </c>
      <c r="H65" t="s">
        <v>11</v>
      </c>
      <c r="I65">
        <v>25</v>
      </c>
      <c r="J65" t="str">
        <f>IF(Table1[[#This Row],[True Age]]&lt;=35,"Young",IF(Table1[[#This Row],[True Age]]&lt;=45,"Senior","Super Senior"))</f>
        <v>Young</v>
      </c>
      <c r="K65" s="3">
        <f>Table1[[#This Row],[TotalCost]]/Table1[[#This Row],[UnitsProduced]]</f>
        <v>3.6117021276595747</v>
      </c>
    </row>
    <row r="66" spans="1:11" x14ac:dyDescent="0.3">
      <c r="A66">
        <v>65</v>
      </c>
      <c r="B66" s="1">
        <v>45378</v>
      </c>
      <c r="C66" t="s">
        <v>27</v>
      </c>
      <c r="D66" t="s">
        <v>24</v>
      </c>
      <c r="E66" t="s">
        <v>10</v>
      </c>
      <c r="F66">
        <v>495</v>
      </c>
      <c r="G66">
        <v>679</v>
      </c>
      <c r="H66" t="s">
        <v>18</v>
      </c>
      <c r="I66">
        <v>42</v>
      </c>
      <c r="J66" t="str">
        <f>IF(Table1[[#This Row],[True Age]]&lt;=35,"Young",IF(Table1[[#This Row],[True Age]]&lt;=45,"Senior","Super Senior"))</f>
        <v>Senior</v>
      </c>
      <c r="K66" s="3">
        <f>Table1[[#This Row],[TotalCost]]/Table1[[#This Row],[UnitsProduced]]</f>
        <v>1.3717171717171717</v>
      </c>
    </row>
    <row r="67" spans="1:11" x14ac:dyDescent="0.3">
      <c r="A67">
        <v>66</v>
      </c>
      <c r="B67" s="1">
        <v>45390</v>
      </c>
      <c r="C67" t="s">
        <v>12</v>
      </c>
      <c r="D67" t="s">
        <v>21</v>
      </c>
      <c r="E67" t="s">
        <v>23</v>
      </c>
      <c r="F67">
        <v>190</v>
      </c>
      <c r="G67">
        <v>28050</v>
      </c>
      <c r="H67" t="s">
        <v>11</v>
      </c>
      <c r="I67">
        <v>28</v>
      </c>
      <c r="J67" t="str">
        <f>IF(Table1[[#This Row],[True Age]]&lt;=35,"Young",IF(Table1[[#This Row],[True Age]]&lt;=45,"Senior","Super Senior"))</f>
        <v>Young</v>
      </c>
      <c r="K67" s="3">
        <f>Table1[[#This Row],[TotalCost]]/Table1[[#This Row],[UnitsProduced]]</f>
        <v>147.63157894736841</v>
      </c>
    </row>
    <row r="68" spans="1:11" x14ac:dyDescent="0.3">
      <c r="A68">
        <v>67</v>
      </c>
      <c r="B68" s="1">
        <v>45249</v>
      </c>
      <c r="C68" t="s">
        <v>12</v>
      </c>
      <c r="D68" t="s">
        <v>20</v>
      </c>
      <c r="E68" t="s">
        <v>10</v>
      </c>
      <c r="F68">
        <v>511</v>
      </c>
      <c r="G68">
        <v>16698</v>
      </c>
      <c r="H68" t="s">
        <v>28</v>
      </c>
      <c r="I68">
        <v>26</v>
      </c>
      <c r="J68" t="str">
        <f>IF(Table1[[#This Row],[True Age]]&lt;=35,"Young",IF(Table1[[#This Row],[True Age]]&lt;=45,"Senior","Super Senior"))</f>
        <v>Young</v>
      </c>
      <c r="K68" s="3">
        <f>Table1[[#This Row],[TotalCost]]/Table1[[#This Row],[UnitsProduced]]</f>
        <v>32.677103718199611</v>
      </c>
    </row>
    <row r="69" spans="1:11" x14ac:dyDescent="0.3">
      <c r="A69">
        <v>68</v>
      </c>
      <c r="B69" s="1">
        <v>45350</v>
      </c>
      <c r="C69" t="s">
        <v>8</v>
      </c>
      <c r="D69" t="s">
        <v>26</v>
      </c>
      <c r="E69" t="s">
        <v>10</v>
      </c>
      <c r="F69">
        <v>308</v>
      </c>
      <c r="G69">
        <v>27956</v>
      </c>
      <c r="H69" t="s">
        <v>28</v>
      </c>
      <c r="I69">
        <v>49</v>
      </c>
      <c r="J69" t="str">
        <f>IF(Table1[[#This Row],[True Age]]&lt;=35,"Young",IF(Table1[[#This Row],[True Age]]&lt;=45,"Senior","Super Senior"))</f>
        <v>Super Senior</v>
      </c>
      <c r="K69" s="3">
        <f>Table1[[#This Row],[TotalCost]]/Table1[[#This Row],[UnitsProduced]]</f>
        <v>90.766233766233768</v>
      </c>
    </row>
    <row r="70" spans="1:11" x14ac:dyDescent="0.3">
      <c r="A70">
        <v>69</v>
      </c>
      <c r="B70" s="1">
        <v>45532</v>
      </c>
      <c r="C70" t="s">
        <v>27</v>
      </c>
      <c r="D70" t="s">
        <v>16</v>
      </c>
      <c r="E70" t="s">
        <v>14</v>
      </c>
      <c r="F70">
        <v>183</v>
      </c>
      <c r="G70">
        <v>679</v>
      </c>
      <c r="H70" t="s">
        <v>18</v>
      </c>
      <c r="I70">
        <v>36</v>
      </c>
      <c r="J70" t="str">
        <f>IF(Table1[[#This Row],[True Age]]&lt;=35,"Young",IF(Table1[[#This Row],[True Age]]&lt;=45,"Senior","Super Senior"))</f>
        <v>Senior</v>
      </c>
      <c r="K70" s="3">
        <f>Table1[[#This Row],[TotalCost]]/Table1[[#This Row],[UnitsProduced]]</f>
        <v>3.7103825136612021</v>
      </c>
    </row>
    <row r="71" spans="1:11" x14ac:dyDescent="0.3">
      <c r="A71">
        <v>70</v>
      </c>
      <c r="B71" s="1">
        <v>45232</v>
      </c>
      <c r="C71" t="s">
        <v>15</v>
      </c>
      <c r="D71" t="s">
        <v>24</v>
      </c>
      <c r="E71" t="s">
        <v>14</v>
      </c>
      <c r="F71">
        <v>335</v>
      </c>
      <c r="G71">
        <v>36984</v>
      </c>
      <c r="H71" t="s">
        <v>11</v>
      </c>
      <c r="I71">
        <v>42</v>
      </c>
      <c r="J71" t="str">
        <f>IF(Table1[[#This Row],[True Age]]&lt;=35,"Young",IF(Table1[[#This Row],[True Age]]&lt;=45,"Senior","Super Senior"))</f>
        <v>Senior</v>
      </c>
      <c r="K71" s="3">
        <f>Table1[[#This Row],[TotalCost]]/Table1[[#This Row],[UnitsProduced]]</f>
        <v>110.4</v>
      </c>
    </row>
    <row r="72" spans="1:11" x14ac:dyDescent="0.3">
      <c r="A72">
        <v>71</v>
      </c>
      <c r="B72" s="1">
        <v>45350</v>
      </c>
      <c r="C72" t="s">
        <v>15</v>
      </c>
      <c r="D72" t="s">
        <v>26</v>
      </c>
      <c r="E72" t="s">
        <v>14</v>
      </c>
      <c r="F72">
        <v>95</v>
      </c>
      <c r="G72">
        <v>46800</v>
      </c>
      <c r="H72" t="s">
        <v>18</v>
      </c>
      <c r="I72">
        <v>49</v>
      </c>
      <c r="J72" t="str">
        <f>IF(Table1[[#This Row],[True Age]]&lt;=35,"Young",IF(Table1[[#This Row],[True Age]]&lt;=45,"Senior","Super Senior"))</f>
        <v>Super Senior</v>
      </c>
      <c r="K72" s="3">
        <f>Table1[[#This Row],[TotalCost]]/Table1[[#This Row],[UnitsProduced]]</f>
        <v>492.63157894736844</v>
      </c>
    </row>
    <row r="73" spans="1:11" x14ac:dyDescent="0.3">
      <c r="A73">
        <v>72</v>
      </c>
      <c r="B73" s="1">
        <v>45356</v>
      </c>
      <c r="C73" t="s">
        <v>15</v>
      </c>
      <c r="D73" t="s">
        <v>24</v>
      </c>
      <c r="E73" t="s">
        <v>14</v>
      </c>
      <c r="F73">
        <v>218</v>
      </c>
      <c r="G73">
        <v>7125</v>
      </c>
      <c r="H73" t="s">
        <v>18</v>
      </c>
      <c r="I73">
        <v>42</v>
      </c>
      <c r="J73" t="str">
        <f>IF(Table1[[#This Row],[True Age]]&lt;=35,"Young",IF(Table1[[#This Row],[True Age]]&lt;=45,"Senior","Super Senior"))</f>
        <v>Senior</v>
      </c>
      <c r="K73" s="3">
        <f>Table1[[#This Row],[TotalCost]]/Table1[[#This Row],[UnitsProduced]]</f>
        <v>32.683486238532112</v>
      </c>
    </row>
    <row r="74" spans="1:11" x14ac:dyDescent="0.3">
      <c r="A74">
        <v>73</v>
      </c>
      <c r="B74" s="1">
        <v>45506</v>
      </c>
      <c r="C74" t="s">
        <v>12</v>
      </c>
      <c r="D74" t="s">
        <v>24</v>
      </c>
      <c r="E74" t="s">
        <v>17</v>
      </c>
      <c r="F74">
        <v>265</v>
      </c>
      <c r="G74">
        <v>12320</v>
      </c>
      <c r="H74" t="s">
        <v>11</v>
      </c>
      <c r="I74">
        <v>42</v>
      </c>
      <c r="J74" t="str">
        <f>IF(Table1[[#This Row],[True Age]]&lt;=35,"Young",IF(Table1[[#This Row],[True Age]]&lt;=45,"Senior","Super Senior"))</f>
        <v>Senior</v>
      </c>
      <c r="K74" s="3">
        <f>Table1[[#This Row],[TotalCost]]/Table1[[#This Row],[UnitsProduced]]</f>
        <v>46.490566037735846</v>
      </c>
    </row>
    <row r="75" spans="1:11" x14ac:dyDescent="0.3">
      <c r="A75">
        <v>74</v>
      </c>
      <c r="B75" s="1">
        <v>45197</v>
      </c>
      <c r="C75" t="s">
        <v>12</v>
      </c>
      <c r="D75" t="s">
        <v>13</v>
      </c>
      <c r="E75" t="s">
        <v>23</v>
      </c>
      <c r="F75">
        <v>213</v>
      </c>
      <c r="G75">
        <v>42028</v>
      </c>
      <c r="H75" t="s">
        <v>11</v>
      </c>
      <c r="I75">
        <v>52</v>
      </c>
      <c r="J75" t="str">
        <f>IF(Table1[[#This Row],[True Age]]&lt;=35,"Young",IF(Table1[[#This Row],[True Age]]&lt;=45,"Senior","Super Senior"))</f>
        <v>Super Senior</v>
      </c>
      <c r="K75" s="3">
        <f>Table1[[#This Row],[TotalCost]]/Table1[[#This Row],[UnitsProduced]]</f>
        <v>197.31455399061034</v>
      </c>
    </row>
    <row r="76" spans="1:11" x14ac:dyDescent="0.3">
      <c r="A76">
        <v>75</v>
      </c>
      <c r="B76" s="1">
        <v>45357</v>
      </c>
      <c r="C76" t="s">
        <v>12</v>
      </c>
      <c r="D76" t="s">
        <v>22</v>
      </c>
      <c r="E76" t="s">
        <v>10</v>
      </c>
      <c r="F76">
        <v>128</v>
      </c>
      <c r="G76">
        <v>679</v>
      </c>
      <c r="H76" t="s">
        <v>18</v>
      </c>
      <c r="I76">
        <v>28</v>
      </c>
      <c r="J76" t="str">
        <f>IF(Table1[[#This Row],[True Age]]&lt;=35,"Young",IF(Table1[[#This Row],[True Age]]&lt;=45,"Senior","Super Senior"))</f>
        <v>Young</v>
      </c>
      <c r="K76" s="3">
        <f>Table1[[#This Row],[TotalCost]]/Table1[[#This Row],[UnitsProduced]]</f>
        <v>5.3046875</v>
      </c>
    </row>
    <row r="77" spans="1:11" x14ac:dyDescent="0.3">
      <c r="A77">
        <v>76</v>
      </c>
      <c r="B77" s="1">
        <v>45217</v>
      </c>
      <c r="C77" t="s">
        <v>15</v>
      </c>
      <c r="D77" t="s">
        <v>9</v>
      </c>
      <c r="E77" t="s">
        <v>23</v>
      </c>
      <c r="F77">
        <v>208</v>
      </c>
      <c r="G77">
        <v>25758</v>
      </c>
      <c r="H77" t="s">
        <v>28</v>
      </c>
      <c r="I77">
        <v>25</v>
      </c>
      <c r="J77" t="str">
        <f>IF(Table1[[#This Row],[True Age]]&lt;=35,"Young",IF(Table1[[#This Row],[True Age]]&lt;=45,"Senior","Super Senior"))</f>
        <v>Young</v>
      </c>
      <c r="K77" s="3">
        <f>Table1[[#This Row],[TotalCost]]/Table1[[#This Row],[UnitsProduced]]</f>
        <v>123.83653846153847</v>
      </c>
    </row>
    <row r="78" spans="1:11" x14ac:dyDescent="0.3">
      <c r="A78">
        <v>77</v>
      </c>
      <c r="B78" s="1">
        <v>45478</v>
      </c>
      <c r="C78" t="s">
        <v>12</v>
      </c>
      <c r="D78" t="s">
        <v>24</v>
      </c>
      <c r="E78" t="s">
        <v>14</v>
      </c>
      <c r="F78">
        <v>115</v>
      </c>
      <c r="G78">
        <v>34804</v>
      </c>
      <c r="H78" t="s">
        <v>11</v>
      </c>
      <c r="I78">
        <v>42</v>
      </c>
      <c r="J78" t="str">
        <f>IF(Table1[[#This Row],[True Age]]&lt;=35,"Young",IF(Table1[[#This Row],[True Age]]&lt;=45,"Senior","Super Senior"))</f>
        <v>Senior</v>
      </c>
      <c r="K78" s="3">
        <f>Table1[[#This Row],[TotalCost]]/Table1[[#This Row],[UnitsProduced]]</f>
        <v>302.64347826086959</v>
      </c>
    </row>
    <row r="79" spans="1:11" x14ac:dyDescent="0.3">
      <c r="A79">
        <v>78</v>
      </c>
      <c r="B79" s="1">
        <v>45469</v>
      </c>
      <c r="C79" t="s">
        <v>8</v>
      </c>
      <c r="D79" t="s">
        <v>20</v>
      </c>
      <c r="E79" t="s">
        <v>10</v>
      </c>
      <c r="F79">
        <v>465</v>
      </c>
      <c r="G79">
        <v>679</v>
      </c>
      <c r="H79" t="s">
        <v>11</v>
      </c>
      <c r="I79">
        <v>26</v>
      </c>
      <c r="J79" t="str">
        <f>IF(Table1[[#This Row],[True Age]]&lt;=35,"Young",IF(Table1[[#This Row],[True Age]]&lt;=45,"Senior","Super Senior"))</f>
        <v>Young</v>
      </c>
      <c r="K79" s="3">
        <f>Table1[[#This Row],[TotalCost]]/Table1[[#This Row],[UnitsProduced]]</f>
        <v>1.4602150537634409</v>
      </c>
    </row>
    <row r="80" spans="1:11" x14ac:dyDescent="0.3">
      <c r="A80">
        <v>79</v>
      </c>
      <c r="B80" s="1">
        <v>45544</v>
      </c>
      <c r="C80" t="s">
        <v>27</v>
      </c>
      <c r="D80" t="s">
        <v>24</v>
      </c>
      <c r="E80" t="s">
        <v>17</v>
      </c>
      <c r="F80">
        <v>519</v>
      </c>
      <c r="G80">
        <v>45312</v>
      </c>
      <c r="H80" t="s">
        <v>18</v>
      </c>
      <c r="I80">
        <v>42</v>
      </c>
      <c r="J80" t="str">
        <f>IF(Table1[[#This Row],[True Age]]&lt;=35,"Young",IF(Table1[[#This Row],[True Age]]&lt;=45,"Senior","Super Senior"))</f>
        <v>Senior</v>
      </c>
      <c r="K80" s="3">
        <f>Table1[[#This Row],[TotalCost]]/Table1[[#This Row],[UnitsProduced]]</f>
        <v>87.306358381502889</v>
      </c>
    </row>
    <row r="81" spans="1:11" x14ac:dyDescent="0.3">
      <c r="A81">
        <v>80</v>
      </c>
      <c r="B81" s="1">
        <v>45350</v>
      </c>
      <c r="C81" t="s">
        <v>8</v>
      </c>
      <c r="D81" t="s">
        <v>19</v>
      </c>
      <c r="E81" t="s">
        <v>17</v>
      </c>
      <c r="F81">
        <v>380</v>
      </c>
      <c r="G81">
        <v>44525</v>
      </c>
      <c r="H81" t="s">
        <v>28</v>
      </c>
      <c r="I81">
        <v>57</v>
      </c>
      <c r="J81" t="str">
        <f>IF(Table1[[#This Row],[True Age]]&lt;=35,"Young",IF(Table1[[#This Row],[True Age]]&lt;=45,"Senior","Super Senior"))</f>
        <v>Super Senior</v>
      </c>
      <c r="K81" s="3">
        <f>Table1[[#This Row],[TotalCost]]/Table1[[#This Row],[UnitsProduced]]</f>
        <v>117.17105263157895</v>
      </c>
    </row>
    <row r="82" spans="1:11" x14ac:dyDescent="0.3">
      <c r="A82">
        <v>81</v>
      </c>
      <c r="B82" s="1">
        <v>45335</v>
      </c>
      <c r="C82" t="s">
        <v>27</v>
      </c>
      <c r="D82" t="s">
        <v>24</v>
      </c>
      <c r="E82" t="s">
        <v>10</v>
      </c>
      <c r="F82">
        <v>32</v>
      </c>
      <c r="G82">
        <v>3132</v>
      </c>
      <c r="H82" t="s">
        <v>18</v>
      </c>
      <c r="I82">
        <v>42</v>
      </c>
      <c r="J82" t="str">
        <f>IF(Table1[[#This Row],[True Age]]&lt;=35,"Young",IF(Table1[[#This Row],[True Age]]&lt;=45,"Senior","Super Senior"))</f>
        <v>Senior</v>
      </c>
      <c r="K82" s="3">
        <f>Table1[[#This Row],[TotalCost]]/Table1[[#This Row],[UnitsProduced]]</f>
        <v>97.875</v>
      </c>
    </row>
    <row r="83" spans="1:11" x14ac:dyDescent="0.3">
      <c r="A83">
        <v>82</v>
      </c>
      <c r="B83" s="1">
        <v>45457</v>
      </c>
      <c r="C83" t="s">
        <v>27</v>
      </c>
      <c r="D83" t="s">
        <v>9</v>
      </c>
      <c r="E83" t="s">
        <v>14</v>
      </c>
      <c r="F83">
        <v>130</v>
      </c>
      <c r="G83">
        <v>16740</v>
      </c>
      <c r="H83" t="s">
        <v>11</v>
      </c>
      <c r="I83">
        <v>25</v>
      </c>
      <c r="J83" t="str">
        <f>IF(Table1[[#This Row],[True Age]]&lt;=35,"Young",IF(Table1[[#This Row],[True Age]]&lt;=45,"Senior","Super Senior"))</f>
        <v>Young</v>
      </c>
      <c r="K83" s="3">
        <f>Table1[[#This Row],[TotalCost]]/Table1[[#This Row],[UnitsProduced]]</f>
        <v>128.76923076923077</v>
      </c>
    </row>
    <row r="84" spans="1:11" x14ac:dyDescent="0.3">
      <c r="A84">
        <v>83</v>
      </c>
      <c r="B84" s="1">
        <v>45254</v>
      </c>
      <c r="C84" t="s">
        <v>12</v>
      </c>
      <c r="D84" t="s">
        <v>20</v>
      </c>
      <c r="E84" t="s">
        <v>17</v>
      </c>
      <c r="F84">
        <v>545</v>
      </c>
      <c r="G84">
        <v>65250</v>
      </c>
      <c r="H84" t="s">
        <v>11</v>
      </c>
      <c r="I84">
        <v>26</v>
      </c>
      <c r="J84" t="str">
        <f>IF(Table1[[#This Row],[True Age]]&lt;=35,"Young",IF(Table1[[#This Row],[True Age]]&lt;=45,"Senior","Super Senior"))</f>
        <v>Young</v>
      </c>
      <c r="K84" s="3">
        <f>Table1[[#This Row],[TotalCost]]/Table1[[#This Row],[UnitsProduced]]</f>
        <v>119.72477064220183</v>
      </c>
    </row>
    <row r="85" spans="1:11" x14ac:dyDescent="0.3">
      <c r="A85">
        <v>84</v>
      </c>
      <c r="B85" s="1">
        <v>45369</v>
      </c>
      <c r="C85" t="s">
        <v>12</v>
      </c>
      <c r="D85" t="s">
        <v>21</v>
      </c>
      <c r="E85" t="s">
        <v>23</v>
      </c>
      <c r="F85">
        <v>84</v>
      </c>
      <c r="G85">
        <v>10688</v>
      </c>
      <c r="H85" t="s">
        <v>11</v>
      </c>
      <c r="I85">
        <v>28</v>
      </c>
      <c r="J85" t="str">
        <f>IF(Table1[[#This Row],[True Age]]&lt;=35,"Young",IF(Table1[[#This Row],[True Age]]&lt;=45,"Senior","Super Senior"))</f>
        <v>Young</v>
      </c>
      <c r="K85" s="3">
        <f>Table1[[#This Row],[TotalCost]]/Table1[[#This Row],[UnitsProduced]]</f>
        <v>127.23809523809524</v>
      </c>
    </row>
    <row r="86" spans="1:11" x14ac:dyDescent="0.3">
      <c r="A86">
        <v>85</v>
      </c>
      <c r="B86" s="1">
        <v>45309</v>
      </c>
      <c r="C86" t="s">
        <v>12</v>
      </c>
      <c r="D86" t="s">
        <v>24</v>
      </c>
      <c r="E86" t="s">
        <v>23</v>
      </c>
      <c r="F86">
        <v>192</v>
      </c>
      <c r="G86">
        <v>18648</v>
      </c>
      <c r="H86" t="s">
        <v>11</v>
      </c>
      <c r="I86">
        <v>42</v>
      </c>
      <c r="J86" t="str">
        <f>IF(Table1[[#This Row],[True Age]]&lt;=35,"Young",IF(Table1[[#This Row],[True Age]]&lt;=45,"Senior","Super Senior"))</f>
        <v>Senior</v>
      </c>
      <c r="K86" s="3">
        <f>Table1[[#This Row],[TotalCost]]/Table1[[#This Row],[UnitsProduced]]</f>
        <v>97.125</v>
      </c>
    </row>
    <row r="87" spans="1:11" x14ac:dyDescent="0.3">
      <c r="A87">
        <v>86</v>
      </c>
      <c r="B87" s="1">
        <v>45307</v>
      </c>
      <c r="C87" t="s">
        <v>8</v>
      </c>
      <c r="D87" t="s">
        <v>21</v>
      </c>
      <c r="E87" t="s">
        <v>10</v>
      </c>
      <c r="F87">
        <v>60</v>
      </c>
      <c r="G87">
        <v>5822</v>
      </c>
      <c r="H87" t="s">
        <v>18</v>
      </c>
      <c r="I87">
        <v>28</v>
      </c>
      <c r="J87" t="str">
        <f>IF(Table1[[#This Row],[True Age]]&lt;=35,"Young",IF(Table1[[#This Row],[True Age]]&lt;=45,"Senior","Super Senior"))</f>
        <v>Young</v>
      </c>
      <c r="K87" s="3">
        <f>Table1[[#This Row],[TotalCost]]/Table1[[#This Row],[UnitsProduced]]</f>
        <v>97.033333333333331</v>
      </c>
    </row>
    <row r="88" spans="1:11" x14ac:dyDescent="0.3">
      <c r="A88">
        <v>87</v>
      </c>
      <c r="B88" s="1">
        <v>45330</v>
      </c>
      <c r="C88" t="s">
        <v>12</v>
      </c>
      <c r="D88" t="s">
        <v>24</v>
      </c>
      <c r="E88" t="s">
        <v>14</v>
      </c>
      <c r="F88">
        <v>209</v>
      </c>
      <c r="G88">
        <v>51221</v>
      </c>
      <c r="H88" t="s">
        <v>11</v>
      </c>
      <c r="I88">
        <v>42</v>
      </c>
      <c r="J88" t="str">
        <f>IF(Table1[[#This Row],[True Age]]&lt;=35,"Young",IF(Table1[[#This Row],[True Age]]&lt;=45,"Senior","Super Senior"))</f>
        <v>Senior</v>
      </c>
      <c r="K88" s="3">
        <f>Table1[[#This Row],[TotalCost]]/Table1[[#This Row],[UnitsProduced]]</f>
        <v>245.07655502392345</v>
      </c>
    </row>
    <row r="89" spans="1:11" x14ac:dyDescent="0.3">
      <c r="A89">
        <v>88</v>
      </c>
      <c r="B89" s="1">
        <v>45305</v>
      </c>
      <c r="C89" t="s">
        <v>15</v>
      </c>
      <c r="D89" t="s">
        <v>21</v>
      </c>
      <c r="E89" t="s">
        <v>14</v>
      </c>
      <c r="F89">
        <v>264</v>
      </c>
      <c r="G89">
        <v>75332</v>
      </c>
      <c r="H89" t="s">
        <v>11</v>
      </c>
      <c r="I89">
        <v>28</v>
      </c>
      <c r="J89" t="str">
        <f>IF(Table1[[#This Row],[True Age]]&lt;=35,"Young",IF(Table1[[#This Row],[True Age]]&lt;=45,"Senior","Super Senior"))</f>
        <v>Young</v>
      </c>
      <c r="K89" s="3">
        <f>Table1[[#This Row],[TotalCost]]/Table1[[#This Row],[UnitsProduced]]</f>
        <v>285.34848484848487</v>
      </c>
    </row>
    <row r="90" spans="1:11" x14ac:dyDescent="0.3">
      <c r="A90">
        <v>89</v>
      </c>
      <c r="B90" s="1">
        <v>45348</v>
      </c>
      <c r="C90" t="s">
        <v>12</v>
      </c>
      <c r="D90" t="s">
        <v>20</v>
      </c>
      <c r="E90" t="s">
        <v>23</v>
      </c>
      <c r="F90">
        <v>97</v>
      </c>
      <c r="G90">
        <v>679</v>
      </c>
      <c r="H90" t="s">
        <v>11</v>
      </c>
      <c r="I90">
        <v>26</v>
      </c>
      <c r="J90" t="str">
        <f>IF(Table1[[#This Row],[True Age]]&lt;=35,"Young",IF(Table1[[#This Row],[True Age]]&lt;=45,"Senior","Super Senior"))</f>
        <v>Young</v>
      </c>
      <c r="K90" s="3">
        <f>Table1[[#This Row],[TotalCost]]/Table1[[#This Row],[UnitsProduced]]</f>
        <v>7</v>
      </c>
    </row>
    <row r="91" spans="1:11" x14ac:dyDescent="0.3">
      <c r="A91">
        <v>90</v>
      </c>
      <c r="B91" s="1">
        <v>45289</v>
      </c>
      <c r="C91" t="s">
        <v>12</v>
      </c>
      <c r="D91" t="s">
        <v>20</v>
      </c>
      <c r="E91" t="s">
        <v>14</v>
      </c>
      <c r="F91">
        <v>404</v>
      </c>
      <c r="G91">
        <v>13310</v>
      </c>
      <c r="H91" t="s">
        <v>11</v>
      </c>
      <c r="I91">
        <v>26</v>
      </c>
      <c r="J91" t="str">
        <f>IF(Table1[[#This Row],[True Age]]&lt;=35,"Young",IF(Table1[[#This Row],[True Age]]&lt;=45,"Senior","Super Senior"))</f>
        <v>Young</v>
      </c>
      <c r="K91" s="3">
        <f>Table1[[#This Row],[TotalCost]]/Table1[[#This Row],[UnitsProduced]]</f>
        <v>32.945544554455445</v>
      </c>
    </row>
    <row r="92" spans="1:11" x14ac:dyDescent="0.3">
      <c r="A92">
        <v>91</v>
      </c>
      <c r="B92" s="1">
        <v>45444</v>
      </c>
      <c r="C92" t="s">
        <v>15</v>
      </c>
      <c r="D92" t="s">
        <v>24</v>
      </c>
      <c r="E92" t="s">
        <v>17</v>
      </c>
      <c r="F92">
        <v>386</v>
      </c>
      <c r="G92">
        <v>47952</v>
      </c>
      <c r="H92" t="s">
        <v>18</v>
      </c>
      <c r="I92">
        <v>42</v>
      </c>
      <c r="J92" t="str">
        <f>IF(Table1[[#This Row],[True Age]]&lt;=35,"Young",IF(Table1[[#This Row],[True Age]]&lt;=45,"Senior","Super Senior"))</f>
        <v>Senior</v>
      </c>
      <c r="K92" s="3">
        <f>Table1[[#This Row],[TotalCost]]/Table1[[#This Row],[UnitsProduced]]</f>
        <v>124.2279792746114</v>
      </c>
    </row>
    <row r="93" spans="1:11" x14ac:dyDescent="0.3">
      <c r="A93">
        <v>92</v>
      </c>
      <c r="B93" s="1">
        <v>45329</v>
      </c>
      <c r="C93" t="s">
        <v>8</v>
      </c>
      <c r="D93" t="s">
        <v>9</v>
      </c>
      <c r="E93" t="s">
        <v>17</v>
      </c>
      <c r="F93">
        <v>214</v>
      </c>
      <c r="G93">
        <v>4984</v>
      </c>
      <c r="H93" t="s">
        <v>18</v>
      </c>
      <c r="I93">
        <v>25</v>
      </c>
      <c r="J93" t="str">
        <f>IF(Table1[[#This Row],[True Age]]&lt;=35,"Young",IF(Table1[[#This Row],[True Age]]&lt;=45,"Senior","Super Senior"))</f>
        <v>Young</v>
      </c>
      <c r="K93" s="3">
        <f>Table1[[#This Row],[TotalCost]]/Table1[[#This Row],[UnitsProduced]]</f>
        <v>23.289719626168225</v>
      </c>
    </row>
    <row r="94" spans="1:11" x14ac:dyDescent="0.3">
      <c r="A94">
        <v>93</v>
      </c>
      <c r="B94" s="1">
        <v>45277</v>
      </c>
      <c r="C94" t="s">
        <v>8</v>
      </c>
      <c r="D94" t="s">
        <v>22</v>
      </c>
      <c r="E94" t="s">
        <v>10</v>
      </c>
      <c r="F94">
        <v>366</v>
      </c>
      <c r="G94">
        <v>4131</v>
      </c>
      <c r="H94" t="s">
        <v>18</v>
      </c>
      <c r="I94">
        <v>28</v>
      </c>
      <c r="J94" t="str">
        <f>IF(Table1[[#This Row],[True Age]]&lt;=35,"Young",IF(Table1[[#This Row],[True Age]]&lt;=45,"Senior","Super Senior"))</f>
        <v>Young</v>
      </c>
      <c r="K94" s="3">
        <f>Table1[[#This Row],[TotalCost]]/Table1[[#This Row],[UnitsProduced]]</f>
        <v>11.28688524590164</v>
      </c>
    </row>
    <row r="95" spans="1:11" x14ac:dyDescent="0.3">
      <c r="A95">
        <v>94</v>
      </c>
      <c r="B95" s="1">
        <v>45427</v>
      </c>
      <c r="C95" t="s">
        <v>15</v>
      </c>
      <c r="D95" t="s">
        <v>25</v>
      </c>
      <c r="E95" t="s">
        <v>10</v>
      </c>
      <c r="F95">
        <v>173</v>
      </c>
      <c r="G95">
        <v>24549</v>
      </c>
      <c r="H95" t="s">
        <v>18</v>
      </c>
      <c r="I95">
        <v>25</v>
      </c>
      <c r="J95" t="str">
        <f>IF(Table1[[#This Row],[True Age]]&lt;=35,"Young",IF(Table1[[#This Row],[True Age]]&lt;=45,"Senior","Super Senior"))</f>
        <v>Young</v>
      </c>
      <c r="K95" s="3">
        <f>Table1[[#This Row],[TotalCost]]/Table1[[#This Row],[UnitsProduced]]</f>
        <v>141.90173410404626</v>
      </c>
    </row>
    <row r="96" spans="1:11" x14ac:dyDescent="0.3">
      <c r="A96">
        <v>95</v>
      </c>
      <c r="B96" s="1">
        <v>45521</v>
      </c>
      <c r="C96" t="s">
        <v>15</v>
      </c>
      <c r="D96" t="s">
        <v>24</v>
      </c>
      <c r="E96" t="s">
        <v>14</v>
      </c>
      <c r="F96">
        <v>306</v>
      </c>
      <c r="G96">
        <v>679</v>
      </c>
      <c r="H96" t="s">
        <v>11</v>
      </c>
      <c r="I96">
        <v>42</v>
      </c>
      <c r="J96" t="str">
        <f>IF(Table1[[#This Row],[True Age]]&lt;=35,"Young",IF(Table1[[#This Row],[True Age]]&lt;=45,"Senior","Super Senior"))</f>
        <v>Senior</v>
      </c>
      <c r="K96" s="3">
        <f>Table1[[#This Row],[TotalCost]]/Table1[[#This Row],[UnitsProduced]]</f>
        <v>2.2189542483660132</v>
      </c>
    </row>
    <row r="97" spans="1:11" x14ac:dyDescent="0.3">
      <c r="A97">
        <v>96</v>
      </c>
      <c r="B97" s="1">
        <v>45347</v>
      </c>
      <c r="C97" t="s">
        <v>15</v>
      </c>
      <c r="D97" t="s">
        <v>21</v>
      </c>
      <c r="E97" t="s">
        <v>10</v>
      </c>
      <c r="F97">
        <v>128</v>
      </c>
      <c r="G97">
        <v>35088</v>
      </c>
      <c r="H97" t="s">
        <v>18</v>
      </c>
      <c r="I97">
        <v>28</v>
      </c>
      <c r="J97" t="str">
        <f>IF(Table1[[#This Row],[True Age]]&lt;=35,"Young",IF(Table1[[#This Row],[True Age]]&lt;=45,"Senior","Super Senior"))</f>
        <v>Young</v>
      </c>
      <c r="K97" s="3">
        <f>Table1[[#This Row],[TotalCost]]/Table1[[#This Row],[UnitsProduced]]</f>
        <v>274.125</v>
      </c>
    </row>
    <row r="98" spans="1:11" x14ac:dyDescent="0.3">
      <c r="A98">
        <v>97</v>
      </c>
      <c r="B98" s="1">
        <v>45293</v>
      </c>
      <c r="C98" t="s">
        <v>12</v>
      </c>
      <c r="D98" t="s">
        <v>9</v>
      </c>
      <c r="E98" t="s">
        <v>23</v>
      </c>
      <c r="F98">
        <v>368</v>
      </c>
      <c r="G98">
        <v>25254</v>
      </c>
      <c r="H98" t="s">
        <v>11</v>
      </c>
      <c r="I98">
        <v>25</v>
      </c>
      <c r="J98" t="str">
        <f>IF(Table1[[#This Row],[True Age]]&lt;=35,"Young",IF(Table1[[#This Row],[True Age]]&lt;=45,"Senior","Super Senior"))</f>
        <v>Young</v>
      </c>
      <c r="K98" s="3">
        <f>Table1[[#This Row],[TotalCost]]/Table1[[#This Row],[UnitsProduced]]</f>
        <v>68.625</v>
      </c>
    </row>
    <row r="99" spans="1:11" x14ac:dyDescent="0.3">
      <c r="A99">
        <v>98</v>
      </c>
      <c r="B99" s="1">
        <v>45282</v>
      </c>
      <c r="C99" t="s">
        <v>12</v>
      </c>
      <c r="D99" t="s">
        <v>19</v>
      </c>
      <c r="E99" t="s">
        <v>17</v>
      </c>
      <c r="F99">
        <v>222</v>
      </c>
      <c r="G99">
        <v>17500</v>
      </c>
      <c r="H99" t="s">
        <v>18</v>
      </c>
      <c r="I99">
        <v>57</v>
      </c>
      <c r="J99" t="str">
        <f>IF(Table1[[#This Row],[True Age]]&lt;=35,"Young",IF(Table1[[#This Row],[True Age]]&lt;=45,"Senior","Super Senior"))</f>
        <v>Super Senior</v>
      </c>
      <c r="K99" s="3">
        <f>Table1[[#This Row],[TotalCost]]/Table1[[#This Row],[UnitsProduced]]</f>
        <v>78.828828828828833</v>
      </c>
    </row>
    <row r="100" spans="1:11" x14ac:dyDescent="0.3">
      <c r="A100">
        <v>99</v>
      </c>
      <c r="B100" s="1">
        <v>45464</v>
      </c>
      <c r="C100" t="s">
        <v>12</v>
      </c>
      <c r="D100" t="s">
        <v>24</v>
      </c>
      <c r="E100" t="s">
        <v>23</v>
      </c>
      <c r="F100">
        <v>216</v>
      </c>
      <c r="G100">
        <v>36934</v>
      </c>
      <c r="H100" t="s">
        <v>11</v>
      </c>
      <c r="I100">
        <v>42</v>
      </c>
      <c r="J100" t="str">
        <f>IF(Table1[[#This Row],[True Age]]&lt;=35,"Young",IF(Table1[[#This Row],[True Age]]&lt;=45,"Senior","Super Senior"))</f>
        <v>Senior</v>
      </c>
      <c r="K100" s="3">
        <f>Table1[[#This Row],[TotalCost]]/Table1[[#This Row],[UnitsProduced]]</f>
        <v>170.99074074074073</v>
      </c>
    </row>
    <row r="101" spans="1:11" x14ac:dyDescent="0.3">
      <c r="A101">
        <v>100</v>
      </c>
      <c r="B101" s="1">
        <v>45286</v>
      </c>
      <c r="C101" t="s">
        <v>12</v>
      </c>
      <c r="D101" t="s">
        <v>13</v>
      </c>
      <c r="E101" t="s">
        <v>23</v>
      </c>
      <c r="F101">
        <v>307</v>
      </c>
      <c r="G101">
        <v>679</v>
      </c>
      <c r="H101" t="s">
        <v>11</v>
      </c>
      <c r="I101">
        <v>52</v>
      </c>
      <c r="J101" t="str">
        <f>IF(Table1[[#This Row],[True Age]]&lt;=35,"Young",IF(Table1[[#This Row],[True Age]]&lt;=45,"Senior","Super Senior"))</f>
        <v>Super Senior</v>
      </c>
      <c r="K101" s="3">
        <f>Table1[[#This Row],[TotalCost]]/Table1[[#This Row],[UnitsProduced]]</f>
        <v>2.2117263843648209</v>
      </c>
    </row>
    <row r="102" spans="1:11" x14ac:dyDescent="0.3">
      <c r="A102">
        <v>101</v>
      </c>
      <c r="B102" s="1">
        <v>45215</v>
      </c>
      <c r="C102" t="s">
        <v>8</v>
      </c>
      <c r="D102" t="s">
        <v>9</v>
      </c>
      <c r="E102" t="s">
        <v>14</v>
      </c>
      <c r="F102">
        <v>384</v>
      </c>
      <c r="G102">
        <v>40565</v>
      </c>
      <c r="H102" t="s">
        <v>11</v>
      </c>
      <c r="I102">
        <v>25</v>
      </c>
      <c r="J102" t="str">
        <f>IF(Table1[[#This Row],[True Age]]&lt;=35,"Young",IF(Table1[[#This Row],[True Age]]&lt;=45,"Senior","Super Senior"))</f>
        <v>Young</v>
      </c>
      <c r="K102" s="3">
        <f>Table1[[#This Row],[TotalCost]]/Table1[[#This Row],[UnitsProduced]]</f>
        <v>105.63802083333333</v>
      </c>
    </row>
    <row r="103" spans="1:11" x14ac:dyDescent="0.3">
      <c r="A103">
        <v>102</v>
      </c>
      <c r="B103" s="1">
        <v>45497</v>
      </c>
      <c r="C103" t="s">
        <v>27</v>
      </c>
      <c r="D103" t="s">
        <v>20</v>
      </c>
      <c r="E103" t="s">
        <v>10</v>
      </c>
      <c r="F103">
        <v>376</v>
      </c>
      <c r="G103">
        <v>679</v>
      </c>
      <c r="H103" t="s">
        <v>11</v>
      </c>
      <c r="I103">
        <v>26</v>
      </c>
      <c r="J103" t="str">
        <f>IF(Table1[[#This Row],[True Age]]&lt;=35,"Young",IF(Table1[[#This Row],[True Age]]&lt;=45,"Senior","Super Senior"))</f>
        <v>Young</v>
      </c>
      <c r="K103" s="3">
        <f>Table1[[#This Row],[TotalCost]]/Table1[[#This Row],[UnitsProduced]]</f>
        <v>1.8058510638297873</v>
      </c>
    </row>
    <row r="104" spans="1:11" x14ac:dyDescent="0.3">
      <c r="A104">
        <v>103</v>
      </c>
      <c r="B104" s="1">
        <v>45274</v>
      </c>
      <c r="C104" t="s">
        <v>27</v>
      </c>
      <c r="D104" t="s">
        <v>19</v>
      </c>
      <c r="E104" t="s">
        <v>10</v>
      </c>
      <c r="F104">
        <v>97</v>
      </c>
      <c r="G104">
        <v>679</v>
      </c>
      <c r="H104" t="s">
        <v>11</v>
      </c>
      <c r="I104">
        <v>57</v>
      </c>
      <c r="J104" t="str">
        <f>IF(Table1[[#This Row],[True Age]]&lt;=35,"Young",IF(Table1[[#This Row],[True Age]]&lt;=45,"Senior","Super Senior"))</f>
        <v>Super Senior</v>
      </c>
      <c r="K104" s="3">
        <f>Table1[[#This Row],[TotalCost]]/Table1[[#This Row],[UnitsProduced]]</f>
        <v>7</v>
      </c>
    </row>
    <row r="105" spans="1:11" x14ac:dyDescent="0.3">
      <c r="A105">
        <v>104</v>
      </c>
      <c r="B105" s="1">
        <v>45243</v>
      </c>
      <c r="C105" t="s">
        <v>12</v>
      </c>
      <c r="D105" t="s">
        <v>24</v>
      </c>
      <c r="E105" t="s">
        <v>17</v>
      </c>
      <c r="F105">
        <v>359</v>
      </c>
      <c r="G105">
        <v>12753</v>
      </c>
      <c r="H105" t="s">
        <v>18</v>
      </c>
      <c r="I105">
        <v>42</v>
      </c>
      <c r="J105" t="str">
        <f>IF(Table1[[#This Row],[True Age]]&lt;=35,"Young",IF(Table1[[#This Row],[True Age]]&lt;=45,"Senior","Super Senior"))</f>
        <v>Senior</v>
      </c>
      <c r="K105" s="3">
        <f>Table1[[#This Row],[TotalCost]]/Table1[[#This Row],[UnitsProduced]]</f>
        <v>35.523676880222844</v>
      </c>
    </row>
    <row r="106" spans="1:11" x14ac:dyDescent="0.3">
      <c r="A106">
        <v>105</v>
      </c>
      <c r="B106" s="1">
        <v>45350</v>
      </c>
      <c r="C106" t="s">
        <v>15</v>
      </c>
      <c r="D106" t="s">
        <v>24</v>
      </c>
      <c r="E106" t="s">
        <v>17</v>
      </c>
      <c r="F106">
        <v>318</v>
      </c>
      <c r="G106">
        <v>16864</v>
      </c>
      <c r="H106" t="s">
        <v>18</v>
      </c>
      <c r="I106">
        <v>42</v>
      </c>
      <c r="J106" t="str">
        <f>IF(Table1[[#This Row],[True Age]]&lt;=35,"Young",IF(Table1[[#This Row],[True Age]]&lt;=45,"Senior","Super Senior"))</f>
        <v>Senior</v>
      </c>
      <c r="K106" s="3">
        <f>Table1[[#This Row],[TotalCost]]/Table1[[#This Row],[UnitsProduced]]</f>
        <v>53.031446540880502</v>
      </c>
    </row>
    <row r="107" spans="1:11" x14ac:dyDescent="0.3">
      <c r="A107">
        <v>106</v>
      </c>
      <c r="B107" s="1">
        <v>45392</v>
      </c>
      <c r="C107" t="s">
        <v>8</v>
      </c>
      <c r="D107" t="s">
        <v>24</v>
      </c>
      <c r="E107" t="s">
        <v>10</v>
      </c>
      <c r="F107">
        <v>51</v>
      </c>
      <c r="G107">
        <v>56888</v>
      </c>
      <c r="H107" t="s">
        <v>11</v>
      </c>
      <c r="I107">
        <v>42</v>
      </c>
      <c r="J107" t="str">
        <f>IF(Table1[[#This Row],[True Age]]&lt;=35,"Young",IF(Table1[[#This Row],[True Age]]&lt;=45,"Senior","Super Senior"))</f>
        <v>Senior</v>
      </c>
      <c r="K107" s="3">
        <f>Table1[[#This Row],[TotalCost]]/Table1[[#This Row],[UnitsProduced]]</f>
        <v>1115.4509803921569</v>
      </c>
    </row>
    <row r="108" spans="1:11" x14ac:dyDescent="0.3">
      <c r="A108">
        <v>107</v>
      </c>
      <c r="B108" s="1">
        <v>45412</v>
      </c>
      <c r="C108" t="s">
        <v>27</v>
      </c>
      <c r="D108" t="s">
        <v>21</v>
      </c>
      <c r="E108" t="s">
        <v>17</v>
      </c>
      <c r="F108">
        <v>236</v>
      </c>
      <c r="G108">
        <v>679</v>
      </c>
      <c r="H108" t="s">
        <v>28</v>
      </c>
      <c r="I108">
        <v>28</v>
      </c>
      <c r="J108" t="str">
        <f>IF(Table1[[#This Row],[True Age]]&lt;=35,"Young",IF(Table1[[#This Row],[True Age]]&lt;=45,"Senior","Super Senior"))</f>
        <v>Young</v>
      </c>
      <c r="K108" s="3">
        <f>Table1[[#This Row],[TotalCost]]/Table1[[#This Row],[UnitsProduced]]</f>
        <v>2.8771186440677967</v>
      </c>
    </row>
    <row r="109" spans="1:11" x14ac:dyDescent="0.3">
      <c r="A109">
        <v>108</v>
      </c>
      <c r="B109" s="1">
        <v>45264</v>
      </c>
      <c r="C109" t="s">
        <v>12</v>
      </c>
      <c r="D109" t="s">
        <v>24</v>
      </c>
      <c r="E109" t="s">
        <v>10</v>
      </c>
      <c r="F109">
        <v>214</v>
      </c>
      <c r="G109">
        <v>31122</v>
      </c>
      <c r="H109" t="s">
        <v>18</v>
      </c>
      <c r="I109">
        <v>42</v>
      </c>
      <c r="J109" t="str">
        <f>IF(Table1[[#This Row],[True Age]]&lt;=35,"Young",IF(Table1[[#This Row],[True Age]]&lt;=45,"Senior","Super Senior"))</f>
        <v>Senior</v>
      </c>
      <c r="K109" s="3">
        <f>Table1[[#This Row],[TotalCost]]/Table1[[#This Row],[UnitsProduced]]</f>
        <v>145.42990654205607</v>
      </c>
    </row>
    <row r="110" spans="1:11" x14ac:dyDescent="0.3">
      <c r="A110">
        <v>109</v>
      </c>
      <c r="B110" s="1">
        <v>45256</v>
      </c>
      <c r="C110" t="s">
        <v>27</v>
      </c>
      <c r="D110" t="s">
        <v>22</v>
      </c>
      <c r="E110" t="s">
        <v>10</v>
      </c>
      <c r="F110">
        <v>86</v>
      </c>
      <c r="G110">
        <v>25853</v>
      </c>
      <c r="H110" t="s">
        <v>11</v>
      </c>
      <c r="I110">
        <v>28</v>
      </c>
      <c r="J110" t="str">
        <f>IF(Table1[[#This Row],[True Age]]&lt;=35,"Young",IF(Table1[[#This Row],[True Age]]&lt;=45,"Senior","Super Senior"))</f>
        <v>Young</v>
      </c>
      <c r="K110" s="3">
        <f>Table1[[#This Row],[TotalCost]]/Table1[[#This Row],[UnitsProduced]]</f>
        <v>300.61627906976742</v>
      </c>
    </row>
    <row r="111" spans="1:11" x14ac:dyDescent="0.3">
      <c r="A111">
        <v>110</v>
      </c>
      <c r="B111" s="1">
        <v>45383</v>
      </c>
      <c r="C111" t="s">
        <v>12</v>
      </c>
      <c r="D111" t="s">
        <v>13</v>
      </c>
      <c r="E111" t="s">
        <v>17</v>
      </c>
      <c r="F111">
        <v>155</v>
      </c>
      <c r="G111">
        <v>11092</v>
      </c>
      <c r="H111" t="s">
        <v>11</v>
      </c>
      <c r="I111">
        <v>52</v>
      </c>
      <c r="J111" t="str">
        <f>IF(Table1[[#This Row],[True Age]]&lt;=35,"Young",IF(Table1[[#This Row],[True Age]]&lt;=45,"Senior","Super Senior"))</f>
        <v>Super Senior</v>
      </c>
      <c r="K111" s="3">
        <f>Table1[[#This Row],[TotalCost]]/Table1[[#This Row],[UnitsProduced]]</f>
        <v>71.561290322580646</v>
      </c>
    </row>
    <row r="112" spans="1:11" x14ac:dyDescent="0.3">
      <c r="A112">
        <v>111</v>
      </c>
      <c r="B112" s="1">
        <v>45497</v>
      </c>
      <c r="C112" t="s">
        <v>15</v>
      </c>
      <c r="D112" t="s">
        <v>20</v>
      </c>
      <c r="E112" t="s">
        <v>23</v>
      </c>
      <c r="F112">
        <v>319</v>
      </c>
      <c r="G112">
        <v>4221</v>
      </c>
      <c r="H112" t="s">
        <v>18</v>
      </c>
      <c r="I112">
        <v>26</v>
      </c>
      <c r="J112" t="str">
        <f>IF(Table1[[#This Row],[True Age]]&lt;=35,"Young",IF(Table1[[#This Row],[True Age]]&lt;=45,"Senior","Super Senior"))</f>
        <v>Young</v>
      </c>
      <c r="K112" s="3">
        <f>Table1[[#This Row],[TotalCost]]/Table1[[#This Row],[UnitsProduced]]</f>
        <v>13.231974921630094</v>
      </c>
    </row>
    <row r="113" spans="1:11" x14ac:dyDescent="0.3">
      <c r="A113">
        <v>112</v>
      </c>
      <c r="B113" s="1">
        <v>45527</v>
      </c>
      <c r="C113" t="s">
        <v>27</v>
      </c>
      <c r="D113" t="s">
        <v>25</v>
      </c>
      <c r="E113" t="s">
        <v>10</v>
      </c>
      <c r="F113">
        <v>62</v>
      </c>
      <c r="G113">
        <v>31500</v>
      </c>
      <c r="H113" t="s">
        <v>18</v>
      </c>
      <c r="I113">
        <v>25</v>
      </c>
      <c r="J113" t="str">
        <f>IF(Table1[[#This Row],[True Age]]&lt;=35,"Young",IF(Table1[[#This Row],[True Age]]&lt;=45,"Senior","Super Senior"))</f>
        <v>Young</v>
      </c>
      <c r="K113" s="3">
        <f>Table1[[#This Row],[TotalCost]]/Table1[[#This Row],[UnitsProduced]]</f>
        <v>508.06451612903226</v>
      </c>
    </row>
    <row r="114" spans="1:11" x14ac:dyDescent="0.3">
      <c r="A114">
        <v>113</v>
      </c>
      <c r="B114" s="1">
        <v>45370</v>
      </c>
      <c r="C114" t="s">
        <v>27</v>
      </c>
      <c r="D114" t="s">
        <v>20</v>
      </c>
      <c r="E114" t="s">
        <v>10</v>
      </c>
      <c r="F114">
        <v>81</v>
      </c>
      <c r="G114">
        <v>31414</v>
      </c>
      <c r="H114" t="s">
        <v>11</v>
      </c>
      <c r="I114">
        <v>26</v>
      </c>
      <c r="J114" t="str">
        <f>IF(Table1[[#This Row],[True Age]]&lt;=35,"Young",IF(Table1[[#This Row],[True Age]]&lt;=45,"Senior","Super Senior"))</f>
        <v>Young</v>
      </c>
      <c r="K114" s="3">
        <f>Table1[[#This Row],[TotalCost]]/Table1[[#This Row],[UnitsProduced]]</f>
        <v>387.82716049382714</v>
      </c>
    </row>
    <row r="115" spans="1:11" x14ac:dyDescent="0.3">
      <c r="A115">
        <v>114</v>
      </c>
      <c r="B115" s="1">
        <v>45233</v>
      </c>
      <c r="C115" t="s">
        <v>15</v>
      </c>
      <c r="D115" t="s">
        <v>19</v>
      </c>
      <c r="E115" t="s">
        <v>10</v>
      </c>
      <c r="F115">
        <v>126</v>
      </c>
      <c r="G115">
        <v>40446</v>
      </c>
      <c r="H115" t="s">
        <v>28</v>
      </c>
      <c r="I115">
        <v>57</v>
      </c>
      <c r="J115" t="str">
        <f>IF(Table1[[#This Row],[True Age]]&lt;=35,"Young",IF(Table1[[#This Row],[True Age]]&lt;=45,"Senior","Super Senior"))</f>
        <v>Super Senior</v>
      </c>
      <c r="K115" s="3">
        <f>Table1[[#This Row],[TotalCost]]/Table1[[#This Row],[UnitsProduced]]</f>
        <v>321</v>
      </c>
    </row>
    <row r="116" spans="1:11" x14ac:dyDescent="0.3">
      <c r="A116">
        <v>115</v>
      </c>
      <c r="B116" s="1">
        <v>45232</v>
      </c>
      <c r="C116" t="s">
        <v>12</v>
      </c>
      <c r="D116" t="s">
        <v>20</v>
      </c>
      <c r="E116" t="s">
        <v>10</v>
      </c>
      <c r="F116">
        <v>541</v>
      </c>
      <c r="G116">
        <v>42432</v>
      </c>
      <c r="H116" t="s">
        <v>11</v>
      </c>
      <c r="I116">
        <v>26</v>
      </c>
      <c r="J116" t="str">
        <f>IF(Table1[[#This Row],[True Age]]&lt;=35,"Young",IF(Table1[[#This Row],[True Age]]&lt;=45,"Senior","Super Senior"))</f>
        <v>Young</v>
      </c>
      <c r="K116" s="3">
        <f>Table1[[#This Row],[TotalCost]]/Table1[[#This Row],[UnitsProduced]]</f>
        <v>78.432532347504619</v>
      </c>
    </row>
    <row r="117" spans="1:11" x14ac:dyDescent="0.3">
      <c r="A117">
        <v>116</v>
      </c>
      <c r="B117" s="1">
        <v>45240</v>
      </c>
      <c r="C117" t="s">
        <v>15</v>
      </c>
      <c r="D117" t="s">
        <v>21</v>
      </c>
      <c r="E117" t="s">
        <v>14</v>
      </c>
      <c r="F117">
        <v>666</v>
      </c>
      <c r="G117">
        <v>64635</v>
      </c>
      <c r="H117" t="s">
        <v>18</v>
      </c>
      <c r="I117">
        <v>28</v>
      </c>
      <c r="J117" t="str">
        <f>IF(Table1[[#This Row],[True Age]]&lt;=35,"Young",IF(Table1[[#This Row],[True Age]]&lt;=45,"Senior","Super Senior"))</f>
        <v>Young</v>
      </c>
      <c r="K117" s="3">
        <f>Table1[[#This Row],[TotalCost]]/Table1[[#This Row],[UnitsProduced]]</f>
        <v>97.049549549549553</v>
      </c>
    </row>
    <row r="118" spans="1:11" x14ac:dyDescent="0.3">
      <c r="A118">
        <v>117</v>
      </c>
      <c r="B118" s="1">
        <v>45374</v>
      </c>
      <c r="C118" t="s">
        <v>15</v>
      </c>
      <c r="D118" t="s">
        <v>20</v>
      </c>
      <c r="E118" t="s">
        <v>23</v>
      </c>
      <c r="F118">
        <v>527</v>
      </c>
      <c r="G118">
        <v>51168</v>
      </c>
      <c r="H118" t="s">
        <v>18</v>
      </c>
      <c r="I118">
        <v>26</v>
      </c>
      <c r="J118" t="str">
        <f>IF(Table1[[#This Row],[True Age]]&lt;=35,"Young",IF(Table1[[#This Row],[True Age]]&lt;=45,"Senior","Super Senior"))</f>
        <v>Young</v>
      </c>
      <c r="K118" s="3">
        <f>Table1[[#This Row],[TotalCost]]/Table1[[#This Row],[UnitsProduced]]</f>
        <v>97.092979127134726</v>
      </c>
    </row>
    <row r="119" spans="1:11" x14ac:dyDescent="0.3">
      <c r="A119">
        <v>118</v>
      </c>
      <c r="B119" s="1">
        <v>45273</v>
      </c>
      <c r="C119" t="s">
        <v>12</v>
      </c>
      <c r="D119" t="s">
        <v>24</v>
      </c>
      <c r="E119" t="s">
        <v>10</v>
      </c>
      <c r="F119">
        <v>289</v>
      </c>
      <c r="G119">
        <v>24948</v>
      </c>
      <c r="H119" t="s">
        <v>18</v>
      </c>
      <c r="I119">
        <v>42</v>
      </c>
      <c r="J119" t="str">
        <f>IF(Table1[[#This Row],[True Age]]&lt;=35,"Young",IF(Table1[[#This Row],[True Age]]&lt;=45,"Senior","Super Senior"))</f>
        <v>Senior</v>
      </c>
      <c r="K119" s="3">
        <f>Table1[[#This Row],[TotalCost]]/Table1[[#This Row],[UnitsProduced]]</f>
        <v>86.325259515570934</v>
      </c>
    </row>
    <row r="120" spans="1:11" x14ac:dyDescent="0.3">
      <c r="A120">
        <v>119</v>
      </c>
      <c r="B120" s="1">
        <v>45305</v>
      </c>
      <c r="C120" t="s">
        <v>12</v>
      </c>
      <c r="D120" t="s">
        <v>19</v>
      </c>
      <c r="E120" t="s">
        <v>23</v>
      </c>
      <c r="F120">
        <v>199</v>
      </c>
      <c r="G120">
        <v>56118</v>
      </c>
      <c r="H120" t="s">
        <v>28</v>
      </c>
      <c r="I120">
        <v>57</v>
      </c>
      <c r="J120" t="str">
        <f>IF(Table1[[#This Row],[True Age]]&lt;=35,"Young",IF(Table1[[#This Row],[True Age]]&lt;=45,"Senior","Super Senior"))</f>
        <v>Super Senior</v>
      </c>
      <c r="K120" s="3">
        <f>Table1[[#This Row],[TotalCost]]/Table1[[#This Row],[UnitsProduced]]</f>
        <v>282</v>
      </c>
    </row>
    <row r="121" spans="1:11" x14ac:dyDescent="0.3">
      <c r="A121">
        <v>120</v>
      </c>
      <c r="B121" s="1">
        <v>45361</v>
      </c>
      <c r="C121" t="s">
        <v>27</v>
      </c>
      <c r="D121" t="s">
        <v>16</v>
      </c>
      <c r="E121" t="s">
        <v>10</v>
      </c>
      <c r="F121">
        <v>497</v>
      </c>
      <c r="G121">
        <v>46548</v>
      </c>
      <c r="H121" t="s">
        <v>11</v>
      </c>
      <c r="I121">
        <v>36</v>
      </c>
      <c r="J121" t="str">
        <f>IF(Table1[[#This Row],[True Age]]&lt;=35,"Young",IF(Table1[[#This Row],[True Age]]&lt;=45,"Senior","Super Senior"))</f>
        <v>Senior</v>
      </c>
      <c r="K121" s="3">
        <f>Table1[[#This Row],[TotalCost]]/Table1[[#This Row],[UnitsProduced]]</f>
        <v>93.6579476861167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BEE8-9B06-4B1B-B0AC-9E09589493B4}">
  <dimension ref="A3:B8"/>
  <sheetViews>
    <sheetView workbookViewId="0">
      <selection activeCell="L21" sqref="L21"/>
    </sheetView>
  </sheetViews>
  <sheetFormatPr defaultRowHeight="14.4" x14ac:dyDescent="0.3"/>
  <cols>
    <col min="1" max="1" width="12.5546875" bestFit="1" customWidth="1"/>
    <col min="2" max="2" width="15.44140625" bestFit="1" customWidth="1"/>
  </cols>
  <sheetData>
    <row r="3" spans="1:2" x14ac:dyDescent="0.3">
      <c r="A3" s="4" t="s">
        <v>33</v>
      </c>
      <c r="B3" t="s">
        <v>35</v>
      </c>
    </row>
    <row r="4" spans="1:2" x14ac:dyDescent="0.3">
      <c r="A4" s="5" t="s">
        <v>10</v>
      </c>
      <c r="B4" s="7">
        <v>483664</v>
      </c>
    </row>
    <row r="5" spans="1:2" x14ac:dyDescent="0.3">
      <c r="A5" s="5" t="s">
        <v>23</v>
      </c>
      <c r="B5" s="7">
        <v>412019</v>
      </c>
    </row>
    <row r="6" spans="1:2" x14ac:dyDescent="0.3">
      <c r="A6" s="5" t="s">
        <v>14</v>
      </c>
      <c r="B6" s="7">
        <v>258821</v>
      </c>
    </row>
    <row r="7" spans="1:2" x14ac:dyDescent="0.3">
      <c r="A7" s="5" t="s">
        <v>17</v>
      </c>
      <c r="B7" s="7">
        <v>490158</v>
      </c>
    </row>
    <row r="8" spans="1:2" x14ac:dyDescent="0.3">
      <c r="A8" s="5" t="s">
        <v>34</v>
      </c>
      <c r="B8" s="7">
        <v>1644662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4C3-A58D-4BBA-BF96-F341D8D36DED}">
  <dimension ref="A3:B14"/>
  <sheetViews>
    <sheetView workbookViewId="0">
      <selection activeCell="N14" sqref="N14"/>
    </sheetView>
  </sheetViews>
  <sheetFormatPr defaultRowHeight="14.4" x14ac:dyDescent="0.3"/>
  <cols>
    <col min="1" max="1" width="12.5546875" bestFit="1" customWidth="1"/>
    <col min="2" max="2" width="20.109375" bestFit="1" customWidth="1"/>
  </cols>
  <sheetData>
    <row r="3" spans="1:2" x14ac:dyDescent="0.3">
      <c r="A3" s="4" t="s">
        <v>33</v>
      </c>
      <c r="B3" t="s">
        <v>36</v>
      </c>
    </row>
    <row r="4" spans="1:2" x14ac:dyDescent="0.3">
      <c r="A4" s="5" t="s">
        <v>21</v>
      </c>
      <c r="B4" s="6">
        <v>4</v>
      </c>
    </row>
    <row r="5" spans="1:2" x14ac:dyDescent="0.3">
      <c r="A5" s="5" t="s">
        <v>26</v>
      </c>
      <c r="B5" s="6">
        <v>3</v>
      </c>
    </row>
    <row r="6" spans="1:2" x14ac:dyDescent="0.3">
      <c r="A6" s="5" t="s">
        <v>22</v>
      </c>
      <c r="B6" s="6">
        <v>4</v>
      </c>
    </row>
    <row r="7" spans="1:2" x14ac:dyDescent="0.3">
      <c r="A7" s="5" t="s">
        <v>25</v>
      </c>
      <c r="B7" s="6">
        <v>3</v>
      </c>
    </row>
    <row r="8" spans="1:2" x14ac:dyDescent="0.3">
      <c r="A8" s="5" t="s">
        <v>20</v>
      </c>
      <c r="B8" s="6">
        <v>8</v>
      </c>
    </row>
    <row r="9" spans="1:2" x14ac:dyDescent="0.3">
      <c r="A9" s="5" t="s">
        <v>9</v>
      </c>
      <c r="B9" s="6">
        <v>3</v>
      </c>
    </row>
    <row r="10" spans="1:2" x14ac:dyDescent="0.3">
      <c r="A10" s="5" t="s">
        <v>13</v>
      </c>
      <c r="B10" s="6">
        <v>6</v>
      </c>
    </row>
    <row r="11" spans="1:2" x14ac:dyDescent="0.3">
      <c r="A11" s="5" t="s">
        <v>19</v>
      </c>
      <c r="B11" s="6">
        <v>5</v>
      </c>
    </row>
    <row r="12" spans="1:2" x14ac:dyDescent="0.3">
      <c r="A12" s="5" t="s">
        <v>24</v>
      </c>
      <c r="B12" s="6">
        <v>18</v>
      </c>
    </row>
    <row r="13" spans="1:2" x14ac:dyDescent="0.3">
      <c r="A13" s="5" t="s">
        <v>16</v>
      </c>
      <c r="B13" s="6">
        <v>1</v>
      </c>
    </row>
    <row r="14" spans="1:2" x14ac:dyDescent="0.3">
      <c r="A14" s="5" t="s">
        <v>34</v>
      </c>
      <c r="B14" s="6">
        <v>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81B3-62B2-4DD1-A104-D9A752004B88}">
  <dimension ref="A3:B18"/>
  <sheetViews>
    <sheetView workbookViewId="0">
      <selection activeCell="I3" sqref="I3"/>
    </sheetView>
  </sheetViews>
  <sheetFormatPr defaultRowHeight="14.4" x14ac:dyDescent="0.3"/>
  <cols>
    <col min="1" max="1" width="12.5546875" bestFit="1" customWidth="1"/>
    <col min="2" max="2" width="20.109375" bestFit="1" customWidth="1"/>
  </cols>
  <sheetData>
    <row r="3" spans="1:2" x14ac:dyDescent="0.3">
      <c r="A3" s="4" t="s">
        <v>33</v>
      </c>
      <c r="B3" t="s">
        <v>37</v>
      </c>
    </row>
    <row r="4" spans="1:2" x14ac:dyDescent="0.3">
      <c r="A4" s="5" t="s">
        <v>38</v>
      </c>
      <c r="B4" s="6">
        <v>7642</v>
      </c>
    </row>
    <row r="5" spans="1:2" x14ac:dyDescent="0.3">
      <c r="A5" s="8" t="s">
        <v>40</v>
      </c>
      <c r="B5" s="6">
        <v>557</v>
      </c>
    </row>
    <row r="6" spans="1:2" x14ac:dyDescent="0.3">
      <c r="A6" s="8" t="s">
        <v>41</v>
      </c>
      <c r="B6" s="6">
        <v>1995</v>
      </c>
    </row>
    <row r="7" spans="1:2" x14ac:dyDescent="0.3">
      <c r="A7" s="8" t="s">
        <v>42</v>
      </c>
      <c r="B7" s="6">
        <v>3059</v>
      </c>
    </row>
    <row r="8" spans="1:2" x14ac:dyDescent="0.3">
      <c r="A8" s="8" t="s">
        <v>43</v>
      </c>
      <c r="B8" s="6">
        <v>2031</v>
      </c>
    </row>
    <row r="9" spans="1:2" x14ac:dyDescent="0.3">
      <c r="A9" s="5" t="s">
        <v>39</v>
      </c>
      <c r="B9" s="6">
        <v>8881</v>
      </c>
    </row>
    <row r="10" spans="1:2" x14ac:dyDescent="0.3">
      <c r="A10" s="8" t="s">
        <v>44</v>
      </c>
      <c r="B10" s="6">
        <v>1641</v>
      </c>
    </row>
    <row r="11" spans="1:2" x14ac:dyDescent="0.3">
      <c r="A11" s="8" t="s">
        <v>45</v>
      </c>
      <c r="B11" s="6">
        <v>2235</v>
      </c>
    </row>
    <row r="12" spans="1:2" x14ac:dyDescent="0.3">
      <c r="A12" s="8" t="s">
        <v>46</v>
      </c>
      <c r="B12" s="6">
        <v>575</v>
      </c>
    </row>
    <row r="13" spans="1:2" x14ac:dyDescent="0.3">
      <c r="A13" s="8" t="s">
        <v>47</v>
      </c>
      <c r="B13" s="6">
        <v>858</v>
      </c>
    </row>
    <row r="14" spans="1:2" x14ac:dyDescent="0.3">
      <c r="A14" s="8" t="s">
        <v>48</v>
      </c>
      <c r="B14" s="6">
        <v>618</v>
      </c>
    </row>
    <row r="15" spans="1:2" x14ac:dyDescent="0.3">
      <c r="A15" s="8" t="s">
        <v>49</v>
      </c>
      <c r="B15" s="6">
        <v>921</v>
      </c>
    </row>
    <row r="16" spans="1:2" x14ac:dyDescent="0.3">
      <c r="A16" s="8" t="s">
        <v>50</v>
      </c>
      <c r="B16" s="6">
        <v>115</v>
      </c>
    </row>
    <row r="17" spans="1:2" x14ac:dyDescent="0.3">
      <c r="A17" s="8" t="s">
        <v>51</v>
      </c>
      <c r="B17" s="6">
        <v>1918</v>
      </c>
    </row>
    <row r="18" spans="1:2" x14ac:dyDescent="0.3">
      <c r="A18" s="5" t="s">
        <v>34</v>
      </c>
      <c r="B18" s="6">
        <v>16523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1893-A911-45C6-97D2-706F64BB9560}">
  <dimension ref="A3:B8"/>
  <sheetViews>
    <sheetView workbookViewId="0">
      <selection activeCell="M12" sqref="M12"/>
    </sheetView>
  </sheetViews>
  <sheetFormatPr defaultRowHeight="14.4" x14ac:dyDescent="0.3"/>
  <cols>
    <col min="1" max="1" width="12.5546875" bestFit="1" customWidth="1"/>
    <col min="2" max="2" width="31.77734375" bestFit="1" customWidth="1"/>
  </cols>
  <sheetData>
    <row r="3" spans="1:2" x14ac:dyDescent="0.3">
      <c r="A3" s="4" t="s">
        <v>33</v>
      </c>
      <c r="B3" t="s">
        <v>52</v>
      </c>
    </row>
    <row r="4" spans="1:2" x14ac:dyDescent="0.3">
      <c r="A4" s="5" t="s">
        <v>10</v>
      </c>
      <c r="B4" s="3">
        <v>79.438062521998219</v>
      </c>
    </row>
    <row r="5" spans="1:2" x14ac:dyDescent="0.3">
      <c r="A5" s="5" t="s">
        <v>23</v>
      </c>
      <c r="B5" s="3">
        <v>127.34572842759093</v>
      </c>
    </row>
    <row r="6" spans="1:2" x14ac:dyDescent="0.3">
      <c r="A6" s="5" t="s">
        <v>14</v>
      </c>
      <c r="B6" s="3">
        <v>275.5632476213309</v>
      </c>
    </row>
    <row r="7" spans="1:2" x14ac:dyDescent="0.3">
      <c r="A7" s="5" t="s">
        <v>17</v>
      </c>
      <c r="B7" s="3">
        <v>108.86363236536448</v>
      </c>
    </row>
    <row r="8" spans="1:2" x14ac:dyDescent="0.3">
      <c r="A8" s="5" t="s">
        <v>34</v>
      </c>
      <c r="B8" s="3">
        <v>123.66651667911759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717E-F1AF-4732-9EE3-2B6529B6A8F5}">
  <dimension ref="G1:X49"/>
  <sheetViews>
    <sheetView showGridLines="0" tabSelected="1" zoomScale="66" workbookViewId="0">
      <selection activeCell="C29" sqref="C29"/>
    </sheetView>
  </sheetViews>
  <sheetFormatPr defaultRowHeight="14.4" x14ac:dyDescent="0.3"/>
  <sheetData>
    <row r="1" spans="7:24" x14ac:dyDescent="0.3">
      <c r="G1" s="11" t="s">
        <v>53</v>
      </c>
      <c r="H1" s="12"/>
      <c r="I1" s="12"/>
      <c r="J1" s="12"/>
      <c r="K1" s="12"/>
      <c r="L1" s="12"/>
      <c r="M1" s="12"/>
      <c r="N1" s="12"/>
      <c r="O1" s="12"/>
      <c r="P1" s="12"/>
      <c r="Q1" s="12"/>
      <c r="R1" s="12"/>
      <c r="S1" s="12"/>
      <c r="T1" s="12"/>
      <c r="U1" s="12"/>
      <c r="V1" s="12"/>
      <c r="W1" s="12"/>
      <c r="X1" s="13"/>
    </row>
    <row r="2" spans="7:24" x14ac:dyDescent="0.3">
      <c r="G2" s="14"/>
      <c r="H2" s="9"/>
      <c r="I2" s="9"/>
      <c r="J2" s="9"/>
      <c r="K2" s="9"/>
      <c r="L2" s="9"/>
      <c r="M2" s="9"/>
      <c r="N2" s="9"/>
      <c r="O2" s="9"/>
      <c r="P2" s="9"/>
      <c r="Q2" s="9"/>
      <c r="R2" s="9"/>
      <c r="S2" s="9"/>
      <c r="T2" s="9"/>
      <c r="U2" s="9"/>
      <c r="V2" s="9"/>
      <c r="W2" s="9"/>
      <c r="X2" s="15"/>
    </row>
    <row r="3" spans="7:24" x14ac:dyDescent="0.3">
      <c r="G3" s="14"/>
      <c r="H3" s="9"/>
      <c r="I3" s="9"/>
      <c r="J3" s="9"/>
      <c r="K3" s="9"/>
      <c r="L3" s="9"/>
      <c r="M3" s="9"/>
      <c r="N3" s="9"/>
      <c r="O3" s="9"/>
      <c r="P3" s="9"/>
      <c r="Q3" s="9"/>
      <c r="R3" s="9"/>
      <c r="S3" s="9"/>
      <c r="T3" s="9"/>
      <c r="U3" s="9"/>
      <c r="V3" s="9"/>
      <c r="W3" s="9"/>
      <c r="X3" s="15"/>
    </row>
    <row r="4" spans="7:24" x14ac:dyDescent="0.3">
      <c r="G4" s="16"/>
      <c r="H4" s="10"/>
      <c r="I4" s="10"/>
      <c r="J4" s="10"/>
      <c r="K4" s="10"/>
      <c r="L4" s="10"/>
      <c r="M4" s="10"/>
      <c r="N4" s="10"/>
      <c r="O4" s="10"/>
      <c r="P4" s="10"/>
      <c r="Q4" s="10"/>
      <c r="R4" s="10"/>
      <c r="S4" s="10"/>
      <c r="T4" s="10"/>
      <c r="U4" s="10"/>
      <c r="V4" s="10"/>
      <c r="W4" s="10"/>
      <c r="X4" s="17"/>
    </row>
    <row r="5" spans="7:24" x14ac:dyDescent="0.3">
      <c r="G5" s="16"/>
      <c r="H5" s="10"/>
      <c r="I5" s="10"/>
      <c r="J5" s="10"/>
      <c r="K5" s="10"/>
      <c r="L5" s="10"/>
      <c r="M5" s="10"/>
      <c r="N5" s="10"/>
      <c r="O5" s="10"/>
      <c r="P5" s="10"/>
      <c r="Q5" s="10"/>
      <c r="R5" s="10"/>
      <c r="S5" s="10"/>
      <c r="T5" s="10"/>
      <c r="U5" s="10"/>
      <c r="V5" s="10"/>
      <c r="W5" s="10"/>
      <c r="X5" s="17"/>
    </row>
    <row r="6" spans="7:24" x14ac:dyDescent="0.3">
      <c r="G6" s="16"/>
      <c r="H6" s="10"/>
      <c r="I6" s="10"/>
      <c r="J6" s="10"/>
      <c r="K6" s="10"/>
      <c r="L6" s="10"/>
      <c r="M6" s="10"/>
      <c r="N6" s="10"/>
      <c r="O6" s="10"/>
      <c r="P6" s="10"/>
      <c r="Q6" s="10"/>
      <c r="R6" s="10"/>
      <c r="S6" s="10"/>
      <c r="T6" s="10"/>
      <c r="U6" s="10"/>
      <c r="V6" s="10"/>
      <c r="W6" s="10"/>
      <c r="X6" s="17"/>
    </row>
    <row r="7" spans="7:24" x14ac:dyDescent="0.3">
      <c r="G7" s="16"/>
      <c r="H7" s="10"/>
      <c r="I7" s="10"/>
      <c r="J7" s="10"/>
      <c r="K7" s="10"/>
      <c r="L7" s="10"/>
      <c r="M7" s="10"/>
      <c r="N7" s="10"/>
      <c r="O7" s="10"/>
      <c r="P7" s="10"/>
      <c r="Q7" s="10"/>
      <c r="R7" s="10"/>
      <c r="S7" s="10"/>
      <c r="T7" s="10"/>
      <c r="U7" s="10"/>
      <c r="V7" s="10"/>
      <c r="W7" s="10"/>
      <c r="X7" s="17"/>
    </row>
    <row r="8" spans="7:24" x14ac:dyDescent="0.3">
      <c r="G8" s="16"/>
      <c r="H8" s="10"/>
      <c r="I8" s="10"/>
      <c r="J8" s="10"/>
      <c r="K8" s="10"/>
      <c r="L8" s="10"/>
      <c r="M8" s="10"/>
      <c r="N8" s="10"/>
      <c r="O8" s="10"/>
      <c r="P8" s="10"/>
      <c r="Q8" s="10"/>
      <c r="R8" s="10"/>
      <c r="S8" s="10"/>
      <c r="T8" s="10"/>
      <c r="U8" s="10"/>
      <c r="V8" s="10"/>
      <c r="W8" s="10"/>
      <c r="X8" s="17"/>
    </row>
    <row r="9" spans="7:24" x14ac:dyDescent="0.3">
      <c r="G9" s="16"/>
      <c r="H9" s="10"/>
      <c r="I9" s="10"/>
      <c r="J9" s="10"/>
      <c r="K9" s="10"/>
      <c r="L9" s="10"/>
      <c r="M9" s="10"/>
      <c r="N9" s="10"/>
      <c r="O9" s="10"/>
      <c r="P9" s="10"/>
      <c r="Q9" s="10"/>
      <c r="R9" s="10"/>
      <c r="S9" s="10"/>
      <c r="T9" s="10"/>
      <c r="U9" s="10"/>
      <c r="V9" s="10"/>
      <c r="W9" s="10"/>
      <c r="X9" s="17"/>
    </row>
    <row r="10" spans="7:24" x14ac:dyDescent="0.3">
      <c r="G10" s="16"/>
      <c r="H10" s="10"/>
      <c r="I10" s="10"/>
      <c r="J10" s="10"/>
      <c r="K10" s="10"/>
      <c r="L10" s="10"/>
      <c r="M10" s="10"/>
      <c r="N10" s="10"/>
      <c r="O10" s="10"/>
      <c r="P10" s="10"/>
      <c r="Q10" s="10"/>
      <c r="R10" s="10"/>
      <c r="S10" s="10"/>
      <c r="T10" s="10"/>
      <c r="U10" s="10"/>
      <c r="V10" s="10"/>
      <c r="W10" s="10"/>
      <c r="X10" s="17"/>
    </row>
    <row r="11" spans="7:24" x14ac:dyDescent="0.3">
      <c r="G11" s="16"/>
      <c r="H11" s="10"/>
      <c r="I11" s="10"/>
      <c r="J11" s="10"/>
      <c r="K11" s="10"/>
      <c r="L11" s="10"/>
      <c r="M11" s="10"/>
      <c r="N11" s="10"/>
      <c r="O11" s="10"/>
      <c r="P11" s="10"/>
      <c r="Q11" s="10"/>
      <c r="R11" s="10"/>
      <c r="S11" s="10"/>
      <c r="T11" s="10"/>
      <c r="U11" s="10"/>
      <c r="V11" s="10"/>
      <c r="W11" s="10"/>
      <c r="X11" s="17"/>
    </row>
    <row r="12" spans="7:24" x14ac:dyDescent="0.3">
      <c r="G12" s="16"/>
      <c r="H12" s="10"/>
      <c r="I12" s="10"/>
      <c r="J12" s="10"/>
      <c r="K12" s="10"/>
      <c r="L12" s="10"/>
      <c r="M12" s="10"/>
      <c r="N12" s="10"/>
      <c r="O12" s="10"/>
      <c r="P12" s="10"/>
      <c r="Q12" s="10"/>
      <c r="R12" s="10"/>
      <c r="S12" s="10"/>
      <c r="T12" s="10"/>
      <c r="U12" s="10"/>
      <c r="V12" s="10"/>
      <c r="W12" s="10"/>
      <c r="X12" s="17"/>
    </row>
    <row r="13" spans="7:24" x14ac:dyDescent="0.3">
      <c r="G13" s="16"/>
      <c r="H13" s="10"/>
      <c r="I13" s="10"/>
      <c r="J13" s="10"/>
      <c r="K13" s="10"/>
      <c r="L13" s="10"/>
      <c r="M13" s="10"/>
      <c r="N13" s="10"/>
      <c r="O13" s="10"/>
      <c r="P13" s="10"/>
      <c r="Q13" s="10"/>
      <c r="R13" s="10"/>
      <c r="S13" s="10"/>
      <c r="T13" s="10"/>
      <c r="U13" s="10"/>
      <c r="V13" s="10"/>
      <c r="W13" s="10"/>
      <c r="X13" s="17"/>
    </row>
    <row r="14" spans="7:24" x14ac:dyDescent="0.3">
      <c r="G14" s="16"/>
      <c r="H14" s="10"/>
      <c r="I14" s="10"/>
      <c r="J14" s="10"/>
      <c r="K14" s="10"/>
      <c r="L14" s="10"/>
      <c r="M14" s="10"/>
      <c r="N14" s="10"/>
      <c r="O14" s="10"/>
      <c r="P14" s="10"/>
      <c r="Q14" s="10"/>
      <c r="R14" s="10"/>
      <c r="S14" s="10"/>
      <c r="T14" s="10"/>
      <c r="U14" s="10"/>
      <c r="V14" s="10"/>
      <c r="W14" s="10"/>
      <c r="X14" s="17"/>
    </row>
    <row r="15" spans="7:24" x14ac:dyDescent="0.3">
      <c r="G15" s="16"/>
      <c r="H15" s="10"/>
      <c r="I15" s="10"/>
      <c r="J15" s="10"/>
      <c r="K15" s="10"/>
      <c r="L15" s="10"/>
      <c r="M15" s="10"/>
      <c r="N15" s="10"/>
      <c r="O15" s="10"/>
      <c r="P15" s="10"/>
      <c r="Q15" s="10"/>
      <c r="R15" s="10"/>
      <c r="S15" s="10"/>
      <c r="T15" s="10"/>
      <c r="U15" s="10"/>
      <c r="V15" s="10"/>
      <c r="W15" s="10"/>
      <c r="X15" s="17"/>
    </row>
    <row r="16" spans="7:24" x14ac:dyDescent="0.3">
      <c r="G16" s="16"/>
      <c r="H16" s="10"/>
      <c r="I16" s="10"/>
      <c r="J16" s="10"/>
      <c r="K16" s="10"/>
      <c r="L16" s="10"/>
      <c r="M16" s="10"/>
      <c r="N16" s="10"/>
      <c r="O16" s="10"/>
      <c r="P16" s="10"/>
      <c r="Q16" s="10"/>
      <c r="R16" s="10"/>
      <c r="S16" s="10"/>
      <c r="T16" s="10"/>
      <c r="U16" s="10"/>
      <c r="V16" s="10"/>
      <c r="W16" s="10"/>
      <c r="X16" s="17"/>
    </row>
    <row r="17" spans="7:24" x14ac:dyDescent="0.3">
      <c r="G17" s="16"/>
      <c r="H17" s="10"/>
      <c r="I17" s="10"/>
      <c r="J17" s="10"/>
      <c r="K17" s="10"/>
      <c r="L17" s="10"/>
      <c r="M17" s="10"/>
      <c r="N17" s="10"/>
      <c r="O17" s="10"/>
      <c r="P17" s="10"/>
      <c r="Q17" s="10"/>
      <c r="R17" s="10"/>
      <c r="S17" s="10"/>
      <c r="T17" s="10"/>
      <c r="U17" s="10"/>
      <c r="V17" s="10"/>
      <c r="W17" s="10"/>
      <c r="X17" s="17"/>
    </row>
    <row r="18" spans="7:24" x14ac:dyDescent="0.3">
      <c r="G18" s="16"/>
      <c r="H18" s="10"/>
      <c r="I18" s="10"/>
      <c r="J18" s="10"/>
      <c r="K18" s="10"/>
      <c r="L18" s="10"/>
      <c r="M18" s="10"/>
      <c r="N18" s="10"/>
      <c r="O18" s="10"/>
      <c r="P18" s="10"/>
      <c r="Q18" s="10"/>
      <c r="R18" s="10"/>
      <c r="S18" s="10"/>
      <c r="T18" s="10"/>
      <c r="U18" s="10"/>
      <c r="V18" s="10"/>
      <c r="W18" s="10"/>
      <c r="X18" s="17"/>
    </row>
    <row r="19" spans="7:24" x14ac:dyDescent="0.3">
      <c r="G19" s="16"/>
      <c r="H19" s="10"/>
      <c r="I19" s="10"/>
      <c r="J19" s="10"/>
      <c r="K19" s="10"/>
      <c r="L19" s="10"/>
      <c r="M19" s="10"/>
      <c r="N19" s="10"/>
      <c r="O19" s="10"/>
      <c r="P19" s="10"/>
      <c r="Q19" s="10"/>
      <c r="R19" s="10"/>
      <c r="S19" s="10"/>
      <c r="T19" s="10"/>
      <c r="U19" s="10"/>
      <c r="V19" s="10"/>
      <c r="W19" s="10"/>
      <c r="X19" s="17"/>
    </row>
    <row r="20" spans="7:24" x14ac:dyDescent="0.3">
      <c r="G20" s="16"/>
      <c r="H20" s="10"/>
      <c r="I20" s="10"/>
      <c r="J20" s="10"/>
      <c r="K20" s="10"/>
      <c r="L20" s="10"/>
      <c r="M20" s="10"/>
      <c r="N20" s="10"/>
      <c r="O20" s="10"/>
      <c r="P20" s="10"/>
      <c r="Q20" s="10"/>
      <c r="R20" s="10"/>
      <c r="S20" s="10"/>
      <c r="T20" s="10"/>
      <c r="U20" s="10"/>
      <c r="V20" s="10"/>
      <c r="W20" s="10"/>
      <c r="X20" s="17"/>
    </row>
    <row r="21" spans="7:24" x14ac:dyDescent="0.3">
      <c r="G21" s="16"/>
      <c r="H21" s="10"/>
      <c r="I21" s="10"/>
      <c r="J21" s="10"/>
      <c r="K21" s="10"/>
      <c r="L21" s="10"/>
      <c r="M21" s="10"/>
      <c r="N21" s="10"/>
      <c r="O21" s="10"/>
      <c r="P21" s="10"/>
      <c r="Q21" s="10"/>
      <c r="R21" s="10"/>
      <c r="S21" s="10"/>
      <c r="T21" s="10"/>
      <c r="U21" s="10"/>
      <c r="V21" s="10"/>
      <c r="W21" s="10"/>
      <c r="X21" s="17"/>
    </row>
    <row r="22" spans="7:24" x14ac:dyDescent="0.3">
      <c r="G22" s="16"/>
      <c r="H22" s="10"/>
      <c r="I22" s="10"/>
      <c r="J22" s="10"/>
      <c r="K22" s="10"/>
      <c r="L22" s="10"/>
      <c r="M22" s="10"/>
      <c r="N22" s="10"/>
      <c r="O22" s="10"/>
      <c r="P22" s="10"/>
      <c r="Q22" s="10"/>
      <c r="R22" s="10"/>
      <c r="S22" s="10"/>
      <c r="T22" s="10"/>
      <c r="U22" s="10"/>
      <c r="V22" s="10"/>
      <c r="W22" s="10"/>
      <c r="X22" s="17"/>
    </row>
    <row r="23" spans="7:24" x14ac:dyDescent="0.3">
      <c r="G23" s="16"/>
      <c r="H23" s="10"/>
      <c r="I23" s="10"/>
      <c r="J23" s="10"/>
      <c r="K23" s="10"/>
      <c r="L23" s="10"/>
      <c r="M23" s="10"/>
      <c r="N23" s="10"/>
      <c r="O23" s="10"/>
      <c r="P23" s="10"/>
      <c r="Q23" s="10"/>
      <c r="R23" s="10"/>
      <c r="S23" s="10"/>
      <c r="T23" s="10"/>
      <c r="U23" s="10"/>
      <c r="V23" s="10"/>
      <c r="W23" s="10"/>
      <c r="X23" s="17"/>
    </row>
    <row r="24" spans="7:24" x14ac:dyDescent="0.3">
      <c r="G24" s="16"/>
      <c r="H24" s="10"/>
      <c r="I24" s="10"/>
      <c r="J24" s="10"/>
      <c r="K24" s="10"/>
      <c r="L24" s="10"/>
      <c r="M24" s="10"/>
      <c r="N24" s="10"/>
      <c r="O24" s="10"/>
      <c r="P24" s="10"/>
      <c r="Q24" s="10"/>
      <c r="R24" s="10"/>
      <c r="S24" s="10"/>
      <c r="T24" s="10"/>
      <c r="U24" s="10"/>
      <c r="V24" s="10"/>
      <c r="W24" s="10"/>
      <c r="X24" s="17"/>
    </row>
    <row r="25" spans="7:24" x14ac:dyDescent="0.3">
      <c r="G25" s="16"/>
      <c r="H25" s="10"/>
      <c r="I25" s="10"/>
      <c r="J25" s="10"/>
      <c r="K25" s="10"/>
      <c r="L25" s="10"/>
      <c r="M25" s="10"/>
      <c r="N25" s="10"/>
      <c r="O25" s="10"/>
      <c r="P25" s="10"/>
      <c r="Q25" s="10"/>
      <c r="R25" s="10"/>
      <c r="S25" s="10"/>
      <c r="T25" s="10"/>
      <c r="U25" s="10"/>
      <c r="V25" s="10"/>
      <c r="W25" s="10"/>
      <c r="X25" s="17"/>
    </row>
    <row r="26" spans="7:24" x14ac:dyDescent="0.3">
      <c r="G26" s="16"/>
      <c r="H26" s="10"/>
      <c r="I26" s="10"/>
      <c r="J26" s="10"/>
      <c r="K26" s="10"/>
      <c r="L26" s="10"/>
      <c r="M26" s="10"/>
      <c r="N26" s="10"/>
      <c r="O26" s="10"/>
      <c r="P26" s="10"/>
      <c r="Q26" s="10"/>
      <c r="R26" s="10"/>
      <c r="S26" s="10"/>
      <c r="T26" s="10"/>
      <c r="U26" s="10"/>
      <c r="V26" s="10"/>
      <c r="W26" s="10"/>
      <c r="X26" s="17"/>
    </row>
    <row r="27" spans="7:24" x14ac:dyDescent="0.3">
      <c r="G27" s="16"/>
      <c r="H27" s="10"/>
      <c r="I27" s="10"/>
      <c r="J27" s="10"/>
      <c r="K27" s="10"/>
      <c r="L27" s="10"/>
      <c r="M27" s="10"/>
      <c r="N27" s="10"/>
      <c r="O27" s="10"/>
      <c r="P27" s="10"/>
      <c r="Q27" s="10"/>
      <c r="R27" s="10"/>
      <c r="S27" s="10"/>
      <c r="T27" s="10"/>
      <c r="U27" s="10"/>
      <c r="V27" s="10"/>
      <c r="W27" s="10"/>
      <c r="X27" s="17"/>
    </row>
    <row r="28" spans="7:24" x14ac:dyDescent="0.3">
      <c r="G28" s="16"/>
      <c r="H28" s="10"/>
      <c r="I28" s="10"/>
      <c r="J28" s="10"/>
      <c r="K28" s="10"/>
      <c r="L28" s="10"/>
      <c r="M28" s="10"/>
      <c r="N28" s="10"/>
      <c r="O28" s="10"/>
      <c r="P28" s="10"/>
      <c r="Q28" s="10"/>
      <c r="R28" s="10"/>
      <c r="S28" s="10"/>
      <c r="T28" s="10"/>
      <c r="U28" s="10"/>
      <c r="V28" s="10"/>
      <c r="W28" s="10"/>
      <c r="X28" s="17"/>
    </row>
    <row r="29" spans="7:24" x14ac:dyDescent="0.3">
      <c r="G29" s="16"/>
      <c r="H29" s="10"/>
      <c r="I29" s="10"/>
      <c r="J29" s="10"/>
      <c r="K29" s="10"/>
      <c r="L29" s="10"/>
      <c r="M29" s="10"/>
      <c r="N29" s="10"/>
      <c r="O29" s="10"/>
      <c r="P29" s="10"/>
      <c r="Q29" s="10"/>
      <c r="R29" s="10"/>
      <c r="S29" s="10"/>
      <c r="T29" s="10"/>
      <c r="U29" s="10"/>
      <c r="V29" s="10"/>
      <c r="W29" s="10"/>
      <c r="X29" s="17"/>
    </row>
    <row r="30" spans="7:24" x14ac:dyDescent="0.3">
      <c r="G30" s="16"/>
      <c r="H30" s="10"/>
      <c r="I30" s="10"/>
      <c r="J30" s="10"/>
      <c r="K30" s="10"/>
      <c r="L30" s="10"/>
      <c r="M30" s="10"/>
      <c r="N30" s="10"/>
      <c r="O30" s="10"/>
      <c r="P30" s="10"/>
      <c r="Q30" s="10"/>
      <c r="R30" s="10"/>
      <c r="S30" s="10"/>
      <c r="T30" s="10"/>
      <c r="U30" s="10"/>
      <c r="V30" s="10"/>
      <c r="W30" s="10"/>
      <c r="X30" s="17"/>
    </row>
    <row r="31" spans="7:24" x14ac:dyDescent="0.3">
      <c r="G31" s="16"/>
      <c r="H31" s="10"/>
      <c r="I31" s="10"/>
      <c r="J31" s="10"/>
      <c r="K31" s="10"/>
      <c r="L31" s="10"/>
      <c r="M31" s="10"/>
      <c r="N31" s="10"/>
      <c r="O31" s="10"/>
      <c r="P31" s="10"/>
      <c r="Q31" s="10"/>
      <c r="R31" s="10"/>
      <c r="S31" s="10"/>
      <c r="T31" s="10"/>
      <c r="U31" s="10"/>
      <c r="V31" s="10"/>
      <c r="W31" s="10"/>
      <c r="X31" s="17"/>
    </row>
    <row r="32" spans="7:24" x14ac:dyDescent="0.3">
      <c r="G32" s="16"/>
      <c r="H32" s="10"/>
      <c r="I32" s="10"/>
      <c r="J32" s="10"/>
      <c r="K32" s="10"/>
      <c r="L32" s="10"/>
      <c r="M32" s="10"/>
      <c r="N32" s="10"/>
      <c r="O32" s="10"/>
      <c r="P32" s="10"/>
      <c r="Q32" s="10"/>
      <c r="R32" s="10"/>
      <c r="S32" s="10"/>
      <c r="T32" s="10"/>
      <c r="U32" s="10"/>
      <c r="V32" s="10"/>
      <c r="W32" s="10"/>
      <c r="X32" s="17"/>
    </row>
    <row r="33" spans="7:24" x14ac:dyDescent="0.3">
      <c r="G33" s="16"/>
      <c r="H33" s="10"/>
      <c r="I33" s="10"/>
      <c r="J33" s="10"/>
      <c r="K33" s="10"/>
      <c r="L33" s="10"/>
      <c r="M33" s="10"/>
      <c r="N33" s="10"/>
      <c r="O33" s="10"/>
      <c r="P33" s="10"/>
      <c r="Q33" s="10"/>
      <c r="R33" s="10"/>
      <c r="S33" s="10"/>
      <c r="T33" s="10"/>
      <c r="U33" s="10"/>
      <c r="V33" s="10"/>
      <c r="W33" s="10"/>
      <c r="X33" s="17"/>
    </row>
    <row r="34" spans="7:24" x14ac:dyDescent="0.3">
      <c r="G34" s="16"/>
      <c r="H34" s="10"/>
      <c r="I34" s="10"/>
      <c r="J34" s="10"/>
      <c r="K34" s="10"/>
      <c r="L34" s="10"/>
      <c r="M34" s="10"/>
      <c r="N34" s="10"/>
      <c r="O34" s="10"/>
      <c r="P34" s="10"/>
      <c r="Q34" s="10"/>
      <c r="R34" s="10"/>
      <c r="S34" s="10"/>
      <c r="T34" s="10"/>
      <c r="U34" s="10"/>
      <c r="V34" s="10"/>
      <c r="W34" s="10"/>
      <c r="X34" s="17"/>
    </row>
    <row r="35" spans="7:24" x14ac:dyDescent="0.3">
      <c r="G35" s="16"/>
      <c r="H35" s="10"/>
      <c r="I35" s="10"/>
      <c r="J35" s="10"/>
      <c r="K35" s="10"/>
      <c r="L35" s="10"/>
      <c r="M35" s="10"/>
      <c r="N35" s="10"/>
      <c r="O35" s="10"/>
      <c r="P35" s="10"/>
      <c r="Q35" s="10"/>
      <c r="R35" s="10"/>
      <c r="S35" s="10"/>
      <c r="T35" s="10"/>
      <c r="U35" s="10"/>
      <c r="V35" s="10"/>
      <c r="W35" s="10"/>
      <c r="X35" s="17"/>
    </row>
    <row r="36" spans="7:24" x14ac:dyDescent="0.3">
      <c r="G36" s="16"/>
      <c r="H36" s="10"/>
      <c r="I36" s="10"/>
      <c r="J36" s="10"/>
      <c r="K36" s="10"/>
      <c r="L36" s="10"/>
      <c r="M36" s="10"/>
      <c r="N36" s="10"/>
      <c r="O36" s="10"/>
      <c r="P36" s="10"/>
      <c r="Q36" s="10"/>
      <c r="R36" s="10"/>
      <c r="S36" s="10"/>
      <c r="T36" s="10"/>
      <c r="U36" s="10"/>
      <c r="V36" s="10"/>
      <c r="W36" s="10"/>
      <c r="X36" s="17"/>
    </row>
    <row r="37" spans="7:24" x14ac:dyDescent="0.3">
      <c r="G37" s="16"/>
      <c r="H37" s="10"/>
      <c r="I37" s="10"/>
      <c r="J37" s="10"/>
      <c r="K37" s="10"/>
      <c r="L37" s="10"/>
      <c r="M37" s="10"/>
      <c r="N37" s="10"/>
      <c r="O37" s="10"/>
      <c r="P37" s="10"/>
      <c r="Q37" s="10"/>
      <c r="R37" s="10"/>
      <c r="S37" s="10"/>
      <c r="T37" s="10"/>
      <c r="U37" s="10"/>
      <c r="V37" s="10"/>
      <c r="W37" s="10"/>
      <c r="X37" s="17"/>
    </row>
    <row r="38" spans="7:24" x14ac:dyDescent="0.3">
      <c r="G38" s="16"/>
      <c r="H38" s="10"/>
      <c r="I38" s="10"/>
      <c r="J38" s="10"/>
      <c r="K38" s="10"/>
      <c r="L38" s="10"/>
      <c r="M38" s="10"/>
      <c r="N38" s="10"/>
      <c r="O38" s="10"/>
      <c r="P38" s="10"/>
      <c r="Q38" s="10"/>
      <c r="R38" s="10"/>
      <c r="S38" s="10"/>
      <c r="T38" s="10"/>
      <c r="U38" s="10"/>
      <c r="V38" s="10"/>
      <c r="W38" s="10"/>
      <c r="X38" s="17"/>
    </row>
    <row r="39" spans="7:24" x14ac:dyDescent="0.3">
      <c r="G39" s="16"/>
      <c r="H39" s="10"/>
      <c r="I39" s="10"/>
      <c r="J39" s="10"/>
      <c r="K39" s="10"/>
      <c r="L39" s="10"/>
      <c r="M39" s="10"/>
      <c r="N39" s="10"/>
      <c r="O39" s="10"/>
      <c r="P39" s="10"/>
      <c r="Q39" s="10"/>
      <c r="R39" s="10"/>
      <c r="S39" s="10"/>
      <c r="T39" s="10"/>
      <c r="U39" s="10"/>
      <c r="V39" s="10"/>
      <c r="W39" s="10"/>
      <c r="X39" s="17"/>
    </row>
    <row r="40" spans="7:24" x14ac:dyDescent="0.3">
      <c r="G40" s="16"/>
      <c r="H40" s="10"/>
      <c r="I40" s="10"/>
      <c r="J40" s="10"/>
      <c r="K40" s="10"/>
      <c r="L40" s="10"/>
      <c r="M40" s="10"/>
      <c r="N40" s="10"/>
      <c r="O40" s="10"/>
      <c r="P40" s="10"/>
      <c r="Q40" s="10"/>
      <c r="R40" s="10"/>
      <c r="S40" s="10"/>
      <c r="T40" s="10"/>
      <c r="U40" s="10"/>
      <c r="V40" s="10"/>
      <c r="W40" s="10"/>
      <c r="X40" s="17"/>
    </row>
    <row r="41" spans="7:24" x14ac:dyDescent="0.3">
      <c r="G41" s="16"/>
      <c r="H41" s="10"/>
      <c r="I41" s="10"/>
      <c r="J41" s="10"/>
      <c r="K41" s="10"/>
      <c r="L41" s="10"/>
      <c r="M41" s="10"/>
      <c r="N41" s="10"/>
      <c r="O41" s="10"/>
      <c r="P41" s="10"/>
      <c r="Q41" s="10"/>
      <c r="R41" s="10"/>
      <c r="S41" s="10"/>
      <c r="T41" s="10"/>
      <c r="U41" s="10"/>
      <c r="V41" s="10"/>
      <c r="W41" s="10"/>
      <c r="X41" s="17"/>
    </row>
    <row r="42" spans="7:24" x14ac:dyDescent="0.3">
      <c r="G42" s="16"/>
      <c r="H42" s="10"/>
      <c r="I42" s="10"/>
      <c r="J42" s="10"/>
      <c r="K42" s="10"/>
      <c r="L42" s="10"/>
      <c r="M42" s="10"/>
      <c r="N42" s="10"/>
      <c r="O42" s="10"/>
      <c r="P42" s="10"/>
      <c r="Q42" s="10"/>
      <c r="R42" s="10"/>
      <c r="S42" s="10"/>
      <c r="T42" s="10"/>
      <c r="U42" s="10"/>
      <c r="V42" s="10"/>
      <c r="W42" s="10"/>
      <c r="X42" s="17"/>
    </row>
    <row r="43" spans="7:24" x14ac:dyDescent="0.3">
      <c r="G43" s="16"/>
      <c r="H43" s="10"/>
      <c r="I43" s="10"/>
      <c r="J43" s="10"/>
      <c r="K43" s="10"/>
      <c r="L43" s="10"/>
      <c r="M43" s="10"/>
      <c r="N43" s="10"/>
      <c r="O43" s="10"/>
      <c r="P43" s="10"/>
      <c r="Q43" s="10"/>
      <c r="R43" s="10"/>
      <c r="S43" s="10"/>
      <c r="T43" s="10"/>
      <c r="U43" s="10"/>
      <c r="V43" s="10"/>
      <c r="W43" s="10"/>
      <c r="X43" s="17"/>
    </row>
    <row r="44" spans="7:24" x14ac:dyDescent="0.3">
      <c r="G44" s="16"/>
      <c r="H44" s="10"/>
      <c r="I44" s="10"/>
      <c r="J44" s="10"/>
      <c r="K44" s="10"/>
      <c r="L44" s="10"/>
      <c r="M44" s="10"/>
      <c r="N44" s="10"/>
      <c r="O44" s="10"/>
      <c r="P44" s="10"/>
      <c r="Q44" s="10"/>
      <c r="R44" s="10"/>
      <c r="S44" s="10"/>
      <c r="T44" s="10"/>
      <c r="U44" s="10"/>
      <c r="V44" s="10"/>
      <c r="W44" s="10"/>
      <c r="X44" s="17"/>
    </row>
    <row r="45" spans="7:24" x14ac:dyDescent="0.3">
      <c r="G45" s="16"/>
      <c r="H45" s="10"/>
      <c r="I45" s="10"/>
      <c r="J45" s="10"/>
      <c r="K45" s="10"/>
      <c r="L45" s="10"/>
      <c r="M45" s="10"/>
      <c r="N45" s="10"/>
      <c r="O45" s="10"/>
      <c r="P45" s="10"/>
      <c r="Q45" s="10"/>
      <c r="R45" s="10"/>
      <c r="S45" s="10"/>
      <c r="T45" s="10"/>
      <c r="U45" s="10"/>
      <c r="V45" s="10"/>
      <c r="W45" s="10"/>
      <c r="X45" s="17"/>
    </row>
    <row r="46" spans="7:24" x14ac:dyDescent="0.3">
      <c r="G46" s="16"/>
      <c r="H46" s="10"/>
      <c r="I46" s="10"/>
      <c r="J46" s="10"/>
      <c r="K46" s="10"/>
      <c r="L46" s="10"/>
      <c r="M46" s="10"/>
      <c r="N46" s="10"/>
      <c r="O46" s="10"/>
      <c r="P46" s="10"/>
      <c r="Q46" s="10"/>
      <c r="R46" s="10"/>
      <c r="S46" s="10"/>
      <c r="T46" s="10"/>
      <c r="U46" s="10"/>
      <c r="V46" s="10"/>
      <c r="W46" s="10"/>
      <c r="X46" s="17"/>
    </row>
    <row r="47" spans="7:24" x14ac:dyDescent="0.3">
      <c r="G47" s="16"/>
      <c r="H47" s="10"/>
      <c r="I47" s="10"/>
      <c r="J47" s="10"/>
      <c r="K47" s="10"/>
      <c r="L47" s="10"/>
      <c r="M47" s="10"/>
      <c r="N47" s="10"/>
      <c r="O47" s="10"/>
      <c r="P47" s="10"/>
      <c r="Q47" s="10"/>
      <c r="R47" s="10"/>
      <c r="S47" s="10"/>
      <c r="T47" s="10"/>
      <c r="U47" s="10"/>
      <c r="V47" s="10"/>
      <c r="W47" s="10"/>
      <c r="X47" s="17"/>
    </row>
    <row r="48" spans="7:24" x14ac:dyDescent="0.3">
      <c r="G48" s="16"/>
      <c r="H48" s="10"/>
      <c r="I48" s="10"/>
      <c r="J48" s="10"/>
      <c r="K48" s="10"/>
      <c r="L48" s="10"/>
      <c r="M48" s="10"/>
      <c r="N48" s="10"/>
      <c r="O48" s="10"/>
      <c r="P48" s="10"/>
      <c r="Q48" s="10"/>
      <c r="R48" s="10"/>
      <c r="S48" s="10"/>
      <c r="T48" s="10"/>
      <c r="U48" s="10"/>
      <c r="V48" s="10"/>
      <c r="W48" s="10"/>
      <c r="X48" s="17"/>
    </row>
    <row r="49" spans="7:24" ht="15" thickBot="1" x14ac:dyDescent="0.35">
      <c r="G49" s="18"/>
      <c r="H49" s="19"/>
      <c r="I49" s="19"/>
      <c r="J49" s="19"/>
      <c r="K49" s="19"/>
      <c r="L49" s="19"/>
      <c r="M49" s="19"/>
      <c r="N49" s="19"/>
      <c r="O49" s="19"/>
      <c r="P49" s="19"/>
      <c r="Q49" s="19"/>
      <c r="R49" s="19"/>
      <c r="S49" s="19"/>
      <c r="T49" s="19"/>
      <c r="U49" s="19"/>
      <c r="V49" s="19"/>
      <c r="W49" s="19"/>
      <c r="X49" s="20"/>
    </row>
  </sheetData>
  <mergeCells count="1">
    <mergeCell ref="G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Uncleaned Production Dataset</vt:lpstr>
      <vt:lpstr>Cleaned DataSet</vt:lpstr>
      <vt:lpstr>Pivot 1</vt:lpstr>
      <vt:lpstr>Pivot 2</vt:lpstr>
      <vt:lpstr>Pivot 3</vt:lpstr>
      <vt:lpstr>Pivot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Rahil Mulani</cp:lastModifiedBy>
  <dcterms:created xsi:type="dcterms:W3CDTF">2015-06-05T18:17:20Z</dcterms:created>
  <dcterms:modified xsi:type="dcterms:W3CDTF">2026-01-31T16:41:27Z</dcterms:modified>
</cp:coreProperties>
</file>